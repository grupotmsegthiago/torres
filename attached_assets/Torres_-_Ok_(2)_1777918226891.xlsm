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D4C8B376-BA4D-47EE-962C-5DE0A34ECBE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Boletim de Medição" sheetId="2" r:id="rId1"/>
  </sheets>
  <definedNames>
    <definedName name="_xlnm._FilterDatabase" localSheetId="0" hidden="1">'Boletim de Medição'!$B$2:$AJ$16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17" i="2" l="1"/>
  <c r="U15" i="2" l="1"/>
  <c r="AI16" i="2"/>
  <c r="U16" i="2"/>
  <c r="AI15" i="2"/>
  <c r="AI14" i="2"/>
  <c r="U14" i="2"/>
  <c r="AI13" i="2"/>
  <c r="U13" i="2"/>
  <c r="AI12" i="2"/>
  <c r="U12" i="2"/>
  <c r="AI11" i="2" l="1"/>
  <c r="U11" i="2"/>
  <c r="AI10" i="2"/>
  <c r="U10" i="2"/>
  <c r="AI9" i="2" l="1"/>
  <c r="AI8" i="2" l="1"/>
  <c r="AI7" i="2"/>
  <c r="AI6" i="2"/>
  <c r="AI3" i="2"/>
  <c r="AI19" i="2" s="1"/>
  <c r="U3" i="2"/>
</calcChain>
</file>

<file path=xl/sharedStrings.xml><?xml version="1.0" encoding="utf-8"?>
<sst xmlns="http://schemas.openxmlformats.org/spreadsheetml/2006/main" count="350" uniqueCount="138">
  <si>
    <t>OS _ ESCOLTA</t>
  </si>
  <si>
    <t>SOLICITANTE</t>
  </si>
  <si>
    <t>AGENTE 01</t>
  </si>
  <si>
    <t>CPF AGENTE 01</t>
  </si>
  <si>
    <t>AGENTE 02</t>
  </si>
  <si>
    <t>CPF AGENTE 02</t>
  </si>
  <si>
    <t>PLACA VTR</t>
  </si>
  <si>
    <t>PLACA CAVALO</t>
  </si>
  <si>
    <t>MOTORISTA</t>
  </si>
  <si>
    <t>CPF</t>
  </si>
  <si>
    <t>ORIGEM</t>
  </si>
  <si>
    <t>DESTINO</t>
  </si>
  <si>
    <t>Data/Hora Inicial</t>
  </si>
  <si>
    <t>Data/Hora Saida Origem</t>
  </si>
  <si>
    <t>Data/Hora Chegada Destino</t>
  </si>
  <si>
    <t>Data/Hora Final</t>
  </si>
  <si>
    <t>KM Inicio</t>
  </si>
  <si>
    <t>KM Final</t>
  </si>
  <si>
    <t>Total KM</t>
  </si>
  <si>
    <t>Franquia KM</t>
  </si>
  <si>
    <t>KM excedente</t>
  </si>
  <si>
    <t>motivo km excedente</t>
  </si>
  <si>
    <t>Total Horas</t>
  </si>
  <si>
    <t>motivo horas excedentes</t>
  </si>
  <si>
    <t>Franquia de Horas</t>
  </si>
  <si>
    <t>Horas Exc</t>
  </si>
  <si>
    <t>Custo adicional Km Exc.</t>
  </si>
  <si>
    <t>Custo adicional Horas Exc.</t>
  </si>
  <si>
    <t>franquia (R$)</t>
  </si>
  <si>
    <t>Total KM Exc. (R$ )</t>
  </si>
  <si>
    <t>Total horas Exc. (R$ )</t>
  </si>
  <si>
    <t>Valor Pedagio</t>
  </si>
  <si>
    <t>Valor Total</t>
  </si>
  <si>
    <t>TOR-0061</t>
  </si>
  <si>
    <t>DAVID</t>
  </si>
  <si>
    <t xml:space="preserve">PEDRO </t>
  </si>
  <si>
    <t>107.423.866-43</t>
  </si>
  <si>
    <t>052.228.865-06</t>
  </si>
  <si>
    <t>UEB7H08</t>
  </si>
  <si>
    <t>TOO0B21 - TOL6E39</t>
  </si>
  <si>
    <t>GEISON BRANDÃO</t>
  </si>
  <si>
    <t>-</t>
  </si>
  <si>
    <t xml:space="preserve">200 KM </t>
  </si>
  <si>
    <t>16/04/2026 - 01:00</t>
  </si>
  <si>
    <t>16/04/2026 - 02:18</t>
  </si>
  <si>
    <t>16/04/2026 - 04:50</t>
  </si>
  <si>
    <t>GABRIEL</t>
  </si>
  <si>
    <t>506.921.408-08</t>
  </si>
  <si>
    <t>UGU6E48</t>
  </si>
  <si>
    <t>TOR-0064</t>
  </si>
  <si>
    <t>JORGE</t>
  </si>
  <si>
    <t>CUA1A01 - DPC8F00</t>
  </si>
  <si>
    <t>KALLARAN PONTES</t>
  </si>
  <si>
    <t xml:space="preserve">JUNDIAI - SP </t>
  </si>
  <si>
    <t xml:space="preserve">ITAPEVI - SP </t>
  </si>
  <si>
    <t>16/04/2026 - 16:00</t>
  </si>
  <si>
    <t>16/04/2026 - 17:56</t>
  </si>
  <si>
    <t>16/04/2026 - 19:33</t>
  </si>
  <si>
    <t>16/04/2026 - 19:35</t>
  </si>
  <si>
    <t>TOR-0065</t>
  </si>
  <si>
    <t xml:space="preserve">MACEDO </t>
  </si>
  <si>
    <t xml:space="preserve">MEDEIROS </t>
  </si>
  <si>
    <t>UER7D08</t>
  </si>
  <si>
    <t>TOR-0075</t>
  </si>
  <si>
    <t>SRZ4B19</t>
  </si>
  <si>
    <t>JOÃO CARDOZO</t>
  </si>
  <si>
    <t>17/04/2026 - 23:00</t>
  </si>
  <si>
    <t>17/04/2026 - 23:40</t>
  </si>
  <si>
    <t>18/04/2026 - 03:11</t>
  </si>
  <si>
    <t>TOR-0076</t>
  </si>
  <si>
    <t>MECEDO</t>
  </si>
  <si>
    <t xml:space="preserve"> DBB9107</t>
  </si>
  <si>
    <t xml:space="preserve">JESON JOSE </t>
  </si>
  <si>
    <t xml:space="preserve">CAJAMAR - SP </t>
  </si>
  <si>
    <t>20/04/2026 - 06:00</t>
  </si>
  <si>
    <t>20/04/2026 - 06:50</t>
  </si>
  <si>
    <t>20/04/2026 - 07:34</t>
  </si>
  <si>
    <t>TOR-0077</t>
  </si>
  <si>
    <t xml:space="preserve">	144.289.248-01</t>
  </si>
  <si>
    <t xml:space="preserve">	187.463.318-59</t>
  </si>
  <si>
    <t>438.386.278-06</t>
  </si>
  <si>
    <t>GABRIEL SALLES</t>
  </si>
  <si>
    <t>OS _ LUFT</t>
  </si>
  <si>
    <t>FATURAR</t>
  </si>
  <si>
    <t>FARMA</t>
  </si>
  <si>
    <t>INTEC</t>
  </si>
  <si>
    <t>TOR-0087</t>
  </si>
  <si>
    <t>WILGNER</t>
  </si>
  <si>
    <t>SFV3D03</t>
  </si>
  <si>
    <t>ALESSANDRO</t>
  </si>
  <si>
    <t>090.101.357-99</t>
  </si>
  <si>
    <t>20/04/2026 - 22:30</t>
  </si>
  <si>
    <t>20/04/2026 - 01:06</t>
  </si>
  <si>
    <t>TOR-0099</t>
  </si>
  <si>
    <t>HEBERT</t>
  </si>
  <si>
    <t>SABINO</t>
  </si>
  <si>
    <t>153.203.347-88</t>
  </si>
  <si>
    <t>QTV7A27 | JSR5J24</t>
  </si>
  <si>
    <t>GUILHERME</t>
  </si>
  <si>
    <t>23/04/2026 - 04:00</t>
  </si>
  <si>
    <t>23/04/2026 - 07:34</t>
  </si>
  <si>
    <t>TOR-0098</t>
  </si>
  <si>
    <t xml:space="preserve"> SRZ4B21 | SVA7J25</t>
  </si>
  <si>
    <t>MARCOS</t>
  </si>
  <si>
    <t>155.696.778-01</t>
  </si>
  <si>
    <t>150 KM</t>
  </si>
  <si>
    <t>23/04/2026 - 07:00</t>
  </si>
  <si>
    <t/>
  </si>
  <si>
    <t>TOR-0102</t>
  </si>
  <si>
    <t>N.JUNIOR</t>
  </si>
  <si>
    <t xml:space="preserve"> DPC8265/DCP8F00</t>
  </si>
  <si>
    <t xml:space="preserve">KALERAN </t>
  </si>
  <si>
    <t>24/04/26 - 16:20</t>
  </si>
  <si>
    <t>24/04/26 - 21:23</t>
  </si>
  <si>
    <t>TOR-0103</t>
  </si>
  <si>
    <t>EDIVANDO</t>
  </si>
  <si>
    <t>MACEDO</t>
  </si>
  <si>
    <t>TOR-0105</t>
  </si>
  <si>
    <t>CVP3F23</t>
  </si>
  <si>
    <t xml:space="preserve">LUCIANO </t>
  </si>
  <si>
    <t>027.127.484-09</t>
  </si>
  <si>
    <t>24/04/26 - 22:00</t>
  </si>
  <si>
    <t>25/04/26 - 00:37</t>
  </si>
  <si>
    <t>TOR-0106</t>
  </si>
  <si>
    <t xml:space="preserve"> TOR-0107</t>
  </si>
  <si>
    <t>SRS1C09/CUA1C81</t>
  </si>
  <si>
    <t>ADHEMAR</t>
  </si>
  <si>
    <t>089.050.138-64</t>
  </si>
  <si>
    <t>27/04/26 - 01:00</t>
  </si>
  <si>
    <t>27/04/26 - 05:23</t>
  </si>
  <si>
    <t>TOR-0123</t>
  </si>
  <si>
    <t xml:space="preserve">JORGE </t>
  </si>
  <si>
    <t>SRZ4B18 | CUA1277</t>
  </si>
  <si>
    <t>MARCOS ROBERTO</t>
  </si>
  <si>
    <t>200 KM ITAJAI</t>
  </si>
  <si>
    <t>29/04/26 - 04:00</t>
  </si>
  <si>
    <t>29/04/2026 - 04:00</t>
  </si>
  <si>
    <t>29/04/2026 - 07:50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</si>
</sst>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">
    <xf numFmtId="0" fontId="0" fillId="0" borderId="0" xfId="0"/>
    <xf numFmtId="44" fontId="3" fillId="2" borderId="0" xfId="1" applyFont="1" applyFill="1" applyBorder="1" applyAlignment="1">
      <alignment horizontal="center" vertical="center" wrapText="1"/>
    </xf>
    <xf numFmtId="44" fontId="5" fillId="0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44" fontId="5" fillId="0" borderId="0" xfId="2" applyFont="1" applyFill="1" applyBorder="1" applyAlignment="1">
      <alignment horizontal="center" vertic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20" fontId="5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44" fontId="3" fillId="3" borderId="0" xfId="1" applyFont="1" applyFill="1" applyBorder="1" applyAlignment="1">
      <alignment horizontal="center" vertical="center" wrapText="1"/>
    </xf>
    <xf numFmtId="44" fontId="7" fillId="4" borderId="0" xfId="0" applyNumberFormat="1" applyFont="1" applyFill="1" applyBorder="1"/>
  </cellXfs>
  <cellStyles count="3">
    <cellStyle name="Moeda" xfId="1" builtinId="4"/>
    <cellStyle name="Moeda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0</xdr:row>
      <xdr:rowOff>142875</xdr:rowOff>
    </xdr:from>
    <xdr:to>
      <xdr:col>3</xdr:col>
      <xdr:colOff>301626</xdr:colOff>
      <xdr:row>0</xdr:row>
      <xdr:rowOff>666294</xdr:rowOff>
    </xdr:to>
    <xdr:pic>
      <xdr:nvPicPr>
        <xdr:cNvPr id="2" name="Imagem 1" descr="L:\GERENCIAMENTO DE RISCO\DAVS\08. ID_Visual_Luft\LOGOS VARIACOES\CHAPADO\LUFT_HEALTHCARE_C_P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142875"/>
          <a:ext cx="1616075" cy="523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J19"/>
  <sheetViews>
    <sheetView tabSelected="1" topLeftCell="T5" workbookViewId="0">
      <selection activeCell="B2" sqref="B2:AJ19"/>
    </sheetView>
  </sheetViews>
  <sheetFormatPr defaultColWidth="9.1796875" defaultRowHeight="13" x14ac:dyDescent="0.3"/>
  <cols>
    <col min="1" max="1" width="1.7265625" style="8" customWidth="1"/>
    <col min="2" max="2" width="11.26953125" style="8" bestFit="1" customWidth="1"/>
    <col min="3" max="3" width="9.1796875" style="8" bestFit="1" customWidth="1"/>
    <col min="4" max="4" width="12.54296875" style="8" bestFit="1" customWidth="1"/>
    <col min="5" max="5" width="9" style="8" bestFit="1" customWidth="1"/>
    <col min="6" max="6" width="14.54296875" style="8" bestFit="1" customWidth="1"/>
    <col min="7" max="7" width="9.453125" style="8" bestFit="1" customWidth="1"/>
    <col min="8" max="8" width="14.54296875" style="8" bestFit="1" customWidth="1"/>
    <col min="9" max="9" width="8.26953125" style="8" bestFit="1" customWidth="1"/>
    <col min="10" max="10" width="16.7265625" style="8" bestFit="1" customWidth="1"/>
    <col min="11" max="11" width="15.1796875" style="8" bestFit="1" customWidth="1"/>
    <col min="12" max="12" width="13.54296875" style="8" bestFit="1" customWidth="1"/>
    <col min="13" max="13" width="10.54296875" style="8" bestFit="1" customWidth="1"/>
    <col min="14" max="14" width="13.81640625" style="8" bestFit="1" customWidth="1"/>
    <col min="15" max="17" width="16.453125" style="8" bestFit="1" customWidth="1"/>
    <col min="18" max="18" width="16.7265625" style="8" bestFit="1" customWidth="1"/>
    <col min="19" max="20" width="6.7265625" style="8" bestFit="1" customWidth="1"/>
    <col min="21" max="21" width="5.1796875" style="8" bestFit="1" customWidth="1"/>
    <col min="22" max="22" width="7.1796875" style="8" bestFit="1" customWidth="1"/>
    <col min="23" max="23" width="8.54296875" style="8" bestFit="1" customWidth="1"/>
    <col min="24" max="24" width="7.81640625" style="8" bestFit="1" customWidth="1"/>
    <col min="25" max="25" width="5.7265625" style="8" bestFit="1" customWidth="1"/>
    <col min="26" max="26" width="8.54296875" style="8" bestFit="1" customWidth="1"/>
    <col min="27" max="27" width="8.1796875" style="8" bestFit="1" customWidth="1"/>
    <col min="28" max="28" width="8" style="8" bestFit="1" customWidth="1"/>
    <col min="29" max="29" width="10" style="8" bestFit="1" customWidth="1"/>
    <col min="30" max="30" width="11.453125" style="8" bestFit="1" customWidth="1"/>
    <col min="31" max="31" width="11.7265625" style="8" bestFit="1" customWidth="1"/>
    <col min="32" max="32" width="10" style="8" bestFit="1" customWidth="1"/>
    <col min="33" max="33" width="10.26953125" style="8" bestFit="1" customWidth="1"/>
    <col min="34" max="34" width="11.453125" style="8" bestFit="1" customWidth="1"/>
    <col min="35" max="35" width="13.26953125" style="8" bestFit="1" customWidth="1"/>
    <col min="36" max="36" width="11" style="8" customWidth="1"/>
    <col min="37" max="16384" width="9.1796875" style="8"/>
  </cols>
  <sheetData>
    <row r="1" spans="2:36" ht="56.25" customHeight="1" x14ac:dyDescent="0.3"/>
    <row r="2" spans="2:36" s="14" customFormat="1" ht="52" x14ac:dyDescent="0.35">
      <c r="B2" s="3" t="s">
        <v>82</v>
      </c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4" t="s">
        <v>10</v>
      </c>
      <c r="N2" s="4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5" t="s">
        <v>22</v>
      </c>
      <c r="Z2" s="3" t="s">
        <v>23</v>
      </c>
      <c r="AA2" s="5" t="s">
        <v>24</v>
      </c>
      <c r="AB2" s="5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5" t="s">
        <v>83</v>
      </c>
    </row>
    <row r="3" spans="2:36" s="9" customFormat="1" ht="20.149999999999999" customHeight="1" x14ac:dyDescent="0.35">
      <c r="B3" s="9">
        <v>1601155449</v>
      </c>
      <c r="C3" s="10" t="s">
        <v>33</v>
      </c>
      <c r="D3" s="6" t="s">
        <v>81</v>
      </c>
      <c r="E3" s="6" t="s">
        <v>34</v>
      </c>
      <c r="F3" s="6" t="s">
        <v>36</v>
      </c>
      <c r="G3" s="6" t="s">
        <v>35</v>
      </c>
      <c r="H3" s="6" t="s">
        <v>37</v>
      </c>
      <c r="I3" s="6" t="s">
        <v>38</v>
      </c>
      <c r="J3" s="6" t="s">
        <v>39</v>
      </c>
      <c r="K3" s="6" t="s">
        <v>40</v>
      </c>
      <c r="L3" s="10" t="s">
        <v>41</v>
      </c>
      <c r="M3" s="6" t="s">
        <v>54</v>
      </c>
      <c r="N3" s="6" t="s">
        <v>42</v>
      </c>
      <c r="O3" s="6" t="s">
        <v>43</v>
      </c>
      <c r="P3" s="6" t="s">
        <v>44</v>
      </c>
      <c r="Q3" s="6" t="s">
        <v>45</v>
      </c>
      <c r="R3" s="6" t="s">
        <v>45</v>
      </c>
      <c r="S3" s="10">
        <v>6300</v>
      </c>
      <c r="T3" s="10">
        <v>6500</v>
      </c>
      <c r="U3" s="10">
        <f>SUM(T3-S3)</f>
        <v>200</v>
      </c>
      <c r="V3" s="10">
        <v>200</v>
      </c>
      <c r="W3" s="10">
        <v>0</v>
      </c>
      <c r="X3" s="6" t="s">
        <v>41</v>
      </c>
      <c r="Y3" s="11">
        <v>0.15972222222222224</v>
      </c>
      <c r="Z3" s="6" t="s">
        <v>41</v>
      </c>
      <c r="AA3" s="11">
        <v>0.20833333333333334</v>
      </c>
      <c r="AB3" s="6" t="s">
        <v>41</v>
      </c>
      <c r="AC3" s="2">
        <v>5.3</v>
      </c>
      <c r="AD3" s="2">
        <v>130</v>
      </c>
      <c r="AE3" s="2">
        <v>1060</v>
      </c>
      <c r="AF3" s="2">
        <v>0</v>
      </c>
      <c r="AG3" s="2">
        <v>0</v>
      </c>
      <c r="AH3" s="2">
        <v>51</v>
      </c>
      <c r="AI3" s="2">
        <f>SUM(AH3+AE3)</f>
        <v>1111</v>
      </c>
      <c r="AJ3" s="9" t="s">
        <v>85</v>
      </c>
    </row>
    <row r="4" spans="2:36" s="9" customFormat="1" ht="20.149999999999999" customHeight="1" x14ac:dyDescent="0.35">
      <c r="B4" s="9">
        <v>1601155462</v>
      </c>
      <c r="C4" s="10" t="s">
        <v>49</v>
      </c>
      <c r="D4" s="6" t="s">
        <v>81</v>
      </c>
      <c r="E4" s="6" t="s">
        <v>50</v>
      </c>
      <c r="F4" s="6" t="s">
        <v>78</v>
      </c>
      <c r="G4" s="6" t="s">
        <v>46</v>
      </c>
      <c r="H4" s="6" t="s">
        <v>47</v>
      </c>
      <c r="I4" s="6" t="s">
        <v>48</v>
      </c>
      <c r="J4" s="6" t="s">
        <v>51</v>
      </c>
      <c r="K4" s="6" t="s">
        <v>52</v>
      </c>
      <c r="L4" s="10" t="s">
        <v>41</v>
      </c>
      <c r="M4" s="6" t="s">
        <v>53</v>
      </c>
      <c r="N4" s="6" t="s">
        <v>54</v>
      </c>
      <c r="O4" s="6" t="s">
        <v>55</v>
      </c>
      <c r="P4" s="6" t="s">
        <v>56</v>
      </c>
      <c r="Q4" s="6" t="s">
        <v>57</v>
      </c>
      <c r="R4" s="6" t="s">
        <v>58</v>
      </c>
      <c r="S4" s="12">
        <v>4213</v>
      </c>
      <c r="T4" s="12">
        <v>4280</v>
      </c>
      <c r="U4" s="10">
        <v>67</v>
      </c>
      <c r="V4" s="10">
        <v>100</v>
      </c>
      <c r="W4" s="10">
        <v>0</v>
      </c>
      <c r="X4" s="6" t="s">
        <v>41</v>
      </c>
      <c r="Y4" s="11">
        <v>0.14930555555555555</v>
      </c>
      <c r="Z4" s="6" t="s">
        <v>41</v>
      </c>
      <c r="AA4" s="11">
        <v>0.125</v>
      </c>
      <c r="AB4" s="11">
        <v>2.4305555555555556E-2</v>
      </c>
      <c r="AC4" s="7">
        <v>5.3</v>
      </c>
      <c r="AD4" s="7">
        <v>130</v>
      </c>
      <c r="AE4" s="7">
        <v>500</v>
      </c>
      <c r="AF4" s="7">
        <v>0</v>
      </c>
      <c r="AG4" s="7">
        <v>75.599999999999994</v>
      </c>
      <c r="AH4" s="7">
        <v>16.7</v>
      </c>
      <c r="AI4" s="7">
        <v>592.29999999999995</v>
      </c>
      <c r="AJ4" s="9" t="s">
        <v>85</v>
      </c>
    </row>
    <row r="5" spans="2:36" s="9" customFormat="1" ht="20.149999999999999" customHeight="1" x14ac:dyDescent="0.35">
      <c r="B5" s="9">
        <v>1601155462</v>
      </c>
      <c r="C5" s="10" t="s">
        <v>59</v>
      </c>
      <c r="D5" s="6" t="s">
        <v>81</v>
      </c>
      <c r="E5" s="6" t="s">
        <v>60</v>
      </c>
      <c r="F5" s="6" t="s">
        <v>80</v>
      </c>
      <c r="G5" s="6" t="s">
        <v>61</v>
      </c>
      <c r="H5" s="6" t="s">
        <v>79</v>
      </c>
      <c r="I5" s="6" t="s">
        <v>62</v>
      </c>
      <c r="J5" s="6" t="s">
        <v>51</v>
      </c>
      <c r="K5" s="6" t="s">
        <v>52</v>
      </c>
      <c r="L5" s="10" t="s">
        <v>41</v>
      </c>
      <c r="M5" s="6" t="s">
        <v>53</v>
      </c>
      <c r="N5" s="6" t="s">
        <v>54</v>
      </c>
      <c r="O5" s="6" t="s">
        <v>55</v>
      </c>
      <c r="P5" s="6" t="s">
        <v>56</v>
      </c>
      <c r="Q5" s="6" t="s">
        <v>57</v>
      </c>
      <c r="R5" s="6" t="s">
        <v>58</v>
      </c>
      <c r="S5" s="12">
        <v>8761</v>
      </c>
      <c r="T5" s="12">
        <v>8830</v>
      </c>
      <c r="U5" s="10">
        <v>67</v>
      </c>
      <c r="V5" s="10">
        <v>100</v>
      </c>
      <c r="W5" s="10">
        <v>0</v>
      </c>
      <c r="X5" s="6" t="s">
        <v>41</v>
      </c>
      <c r="Y5" s="11">
        <v>0.14930555555555555</v>
      </c>
      <c r="Z5" s="6" t="s">
        <v>41</v>
      </c>
      <c r="AA5" s="11">
        <v>0.125</v>
      </c>
      <c r="AB5" s="11">
        <v>2.4305555555555556E-2</v>
      </c>
      <c r="AC5" s="7">
        <v>5.3</v>
      </c>
      <c r="AD5" s="7">
        <v>130</v>
      </c>
      <c r="AE5" s="7">
        <v>500</v>
      </c>
      <c r="AF5" s="7">
        <v>0</v>
      </c>
      <c r="AG5" s="7">
        <v>75.599999999999994</v>
      </c>
      <c r="AH5" s="7">
        <v>16.7</v>
      </c>
      <c r="AI5" s="7">
        <v>592.29999999999995</v>
      </c>
      <c r="AJ5" s="9" t="s">
        <v>85</v>
      </c>
    </row>
    <row r="6" spans="2:36" s="9" customFormat="1" ht="20.149999999999999" customHeight="1" x14ac:dyDescent="0.35">
      <c r="B6" s="9">
        <v>1601155579</v>
      </c>
      <c r="C6" s="10" t="s">
        <v>63</v>
      </c>
      <c r="D6" s="6" t="s">
        <v>81</v>
      </c>
      <c r="E6" s="6" t="s">
        <v>50</v>
      </c>
      <c r="F6" s="6" t="s">
        <v>78</v>
      </c>
      <c r="G6" s="6" t="s">
        <v>46</v>
      </c>
      <c r="H6" s="6" t="s">
        <v>47</v>
      </c>
      <c r="I6" s="6" t="s">
        <v>48</v>
      </c>
      <c r="J6" s="6" t="s">
        <v>64</v>
      </c>
      <c r="K6" s="6" t="s">
        <v>65</v>
      </c>
      <c r="L6" s="10" t="s">
        <v>41</v>
      </c>
      <c r="M6" s="6" t="s">
        <v>54</v>
      </c>
      <c r="N6" s="6" t="s">
        <v>42</v>
      </c>
      <c r="O6" s="6" t="s">
        <v>66</v>
      </c>
      <c r="P6" s="6" t="s">
        <v>67</v>
      </c>
      <c r="Q6" s="6" t="s">
        <v>68</v>
      </c>
      <c r="R6" s="6" t="s">
        <v>68</v>
      </c>
      <c r="S6" s="12">
        <v>4667</v>
      </c>
      <c r="T6" s="12">
        <v>4867</v>
      </c>
      <c r="U6" s="10">
        <v>200</v>
      </c>
      <c r="V6" s="10">
        <v>200</v>
      </c>
      <c r="W6" s="10">
        <v>0</v>
      </c>
      <c r="X6" s="6" t="s">
        <v>41</v>
      </c>
      <c r="Y6" s="11">
        <v>0.13263888888888889</v>
      </c>
      <c r="Z6" s="6" t="s">
        <v>41</v>
      </c>
      <c r="AA6" s="11">
        <v>0.20833333333333334</v>
      </c>
      <c r="AB6" s="6" t="s">
        <v>41</v>
      </c>
      <c r="AC6" s="2">
        <v>5.3</v>
      </c>
      <c r="AD6" s="2">
        <v>130</v>
      </c>
      <c r="AE6" s="2">
        <v>1060</v>
      </c>
      <c r="AF6" s="2">
        <v>0</v>
      </c>
      <c r="AG6" s="2" t="s">
        <v>41</v>
      </c>
      <c r="AH6" s="2">
        <v>72</v>
      </c>
      <c r="AI6" s="2">
        <f t="shared" ref="AI6:AI11" si="0">SUM(AH6+AE6)</f>
        <v>1132</v>
      </c>
      <c r="AJ6" s="9" t="s">
        <v>84</v>
      </c>
    </row>
    <row r="7" spans="2:36" s="9" customFormat="1" ht="20.149999999999999" customHeight="1" x14ac:dyDescent="0.35">
      <c r="B7" s="9">
        <v>1601155593</v>
      </c>
      <c r="C7" s="10" t="s">
        <v>69</v>
      </c>
      <c r="D7" s="6" t="s">
        <v>81</v>
      </c>
      <c r="E7" s="6" t="s">
        <v>70</v>
      </c>
      <c r="F7" s="6" t="s">
        <v>80</v>
      </c>
      <c r="G7" s="6" t="s">
        <v>61</v>
      </c>
      <c r="H7" s="6" t="s">
        <v>79</v>
      </c>
      <c r="I7" s="6" t="s">
        <v>62</v>
      </c>
      <c r="J7" s="6" t="s">
        <v>71</v>
      </c>
      <c r="K7" s="6" t="s">
        <v>72</v>
      </c>
      <c r="L7" s="10" t="s">
        <v>41</v>
      </c>
      <c r="M7" s="6" t="s">
        <v>54</v>
      </c>
      <c r="N7" s="6" t="s">
        <v>73</v>
      </c>
      <c r="O7" s="6" t="s">
        <v>74</v>
      </c>
      <c r="P7" s="6" t="s">
        <v>75</v>
      </c>
      <c r="Q7" s="6" t="s">
        <v>75</v>
      </c>
      <c r="R7" s="6" t="s">
        <v>76</v>
      </c>
      <c r="S7" s="12">
        <v>8898</v>
      </c>
      <c r="T7" s="12">
        <v>8933</v>
      </c>
      <c r="U7" s="10">
        <v>35</v>
      </c>
      <c r="V7" s="10">
        <v>100</v>
      </c>
      <c r="W7" s="10">
        <v>0</v>
      </c>
      <c r="X7" s="6" t="s">
        <v>41</v>
      </c>
      <c r="Y7" s="11">
        <v>9.375E-2</v>
      </c>
      <c r="Z7" s="6" t="s">
        <v>41</v>
      </c>
      <c r="AA7" s="11">
        <v>0.125</v>
      </c>
      <c r="AB7" s="6" t="s">
        <v>41</v>
      </c>
      <c r="AC7" s="2">
        <v>5.3</v>
      </c>
      <c r="AD7" s="2">
        <v>130</v>
      </c>
      <c r="AE7" s="2">
        <v>500</v>
      </c>
      <c r="AF7" s="2">
        <v>0</v>
      </c>
      <c r="AG7" s="2" t="s">
        <v>41</v>
      </c>
      <c r="AH7" s="2">
        <v>62.8</v>
      </c>
      <c r="AI7" s="2">
        <f t="shared" si="0"/>
        <v>562.79999999999995</v>
      </c>
      <c r="AJ7" s="9" t="s">
        <v>84</v>
      </c>
    </row>
    <row r="8" spans="2:36" s="9" customFormat="1" ht="20.149999999999999" customHeight="1" x14ac:dyDescent="0.35">
      <c r="B8" s="9">
        <v>1601155593</v>
      </c>
      <c r="C8" s="10" t="s">
        <v>77</v>
      </c>
      <c r="D8" s="6" t="s">
        <v>81</v>
      </c>
      <c r="E8" s="6" t="s">
        <v>50</v>
      </c>
      <c r="F8" s="6" t="s">
        <v>78</v>
      </c>
      <c r="G8" s="6" t="s">
        <v>46</v>
      </c>
      <c r="H8" s="6" t="s">
        <v>47</v>
      </c>
      <c r="I8" s="6" t="s">
        <v>48</v>
      </c>
      <c r="J8" s="6" t="s">
        <v>71</v>
      </c>
      <c r="K8" s="6" t="s">
        <v>72</v>
      </c>
      <c r="L8" s="10" t="s">
        <v>41</v>
      </c>
      <c r="M8" s="6" t="s">
        <v>54</v>
      </c>
      <c r="N8" s="6" t="s">
        <v>73</v>
      </c>
      <c r="O8" s="6" t="s">
        <v>74</v>
      </c>
      <c r="P8" s="6" t="s">
        <v>75</v>
      </c>
      <c r="Q8" s="6" t="s">
        <v>75</v>
      </c>
      <c r="R8" s="6" t="s">
        <v>76</v>
      </c>
      <c r="S8" s="10"/>
      <c r="T8" s="10"/>
      <c r="U8" s="10">
        <v>35</v>
      </c>
      <c r="V8" s="10">
        <v>100</v>
      </c>
      <c r="W8" s="10">
        <v>0</v>
      </c>
      <c r="X8" s="6" t="s">
        <v>41</v>
      </c>
      <c r="Y8" s="11">
        <v>9.375E-2</v>
      </c>
      <c r="Z8" s="6" t="s">
        <v>41</v>
      </c>
      <c r="AA8" s="11">
        <v>0.125</v>
      </c>
      <c r="AB8" s="6" t="s">
        <v>41</v>
      </c>
      <c r="AC8" s="2">
        <v>5.3</v>
      </c>
      <c r="AD8" s="2">
        <v>130</v>
      </c>
      <c r="AE8" s="2">
        <v>500</v>
      </c>
      <c r="AF8" s="2">
        <v>0</v>
      </c>
      <c r="AG8" s="2" t="s">
        <v>41</v>
      </c>
      <c r="AH8" s="2">
        <v>62.8</v>
      </c>
      <c r="AI8" s="2">
        <f t="shared" si="0"/>
        <v>562.79999999999995</v>
      </c>
      <c r="AJ8" s="9" t="s">
        <v>84</v>
      </c>
    </row>
    <row r="9" spans="2:36" s="9" customFormat="1" ht="20.149999999999999" customHeight="1" x14ac:dyDescent="0.35">
      <c r="B9" s="9">
        <v>1601155618</v>
      </c>
      <c r="C9" s="6" t="s">
        <v>86</v>
      </c>
      <c r="D9" s="6" t="s">
        <v>87</v>
      </c>
      <c r="E9" s="6" t="s">
        <v>50</v>
      </c>
      <c r="F9" s="6" t="s">
        <v>78</v>
      </c>
      <c r="G9" s="6" t="s">
        <v>46</v>
      </c>
      <c r="H9" s="6" t="s">
        <v>47</v>
      </c>
      <c r="I9" s="6" t="s">
        <v>48</v>
      </c>
      <c r="J9" s="6" t="s">
        <v>88</v>
      </c>
      <c r="K9" s="6" t="s">
        <v>89</v>
      </c>
      <c r="L9" s="6" t="s">
        <v>90</v>
      </c>
      <c r="M9" s="6" t="s">
        <v>54</v>
      </c>
      <c r="N9" s="6" t="s">
        <v>42</v>
      </c>
      <c r="O9" s="6" t="s">
        <v>91</v>
      </c>
      <c r="P9" s="6" t="s">
        <v>91</v>
      </c>
      <c r="Q9" s="6" t="s">
        <v>92</v>
      </c>
      <c r="R9" s="6" t="s">
        <v>92</v>
      </c>
      <c r="S9" s="12">
        <v>5962</v>
      </c>
      <c r="T9" s="12">
        <v>6162</v>
      </c>
      <c r="U9" s="6">
        <v>200</v>
      </c>
      <c r="V9" s="6">
        <v>200</v>
      </c>
      <c r="W9" s="6">
        <v>0</v>
      </c>
      <c r="X9" s="6" t="s">
        <v>41</v>
      </c>
      <c r="Y9" s="11">
        <v>0.12916666666666668</v>
      </c>
      <c r="Z9" s="6" t="s">
        <v>41</v>
      </c>
      <c r="AA9" s="11">
        <v>0.20833333333333334</v>
      </c>
      <c r="AB9" s="6" t="s">
        <v>41</v>
      </c>
      <c r="AC9" s="2">
        <v>5.3</v>
      </c>
      <c r="AD9" s="2">
        <v>130</v>
      </c>
      <c r="AE9" s="2">
        <v>1060</v>
      </c>
      <c r="AF9" s="2" t="s">
        <v>41</v>
      </c>
      <c r="AG9" s="2" t="s">
        <v>41</v>
      </c>
      <c r="AH9" s="2">
        <v>46.8</v>
      </c>
      <c r="AI9" s="2">
        <f t="shared" si="0"/>
        <v>1106.8</v>
      </c>
      <c r="AJ9" s="9" t="s">
        <v>85</v>
      </c>
    </row>
    <row r="10" spans="2:36" s="9" customFormat="1" ht="20.149999999999999" customHeight="1" x14ac:dyDescent="0.35">
      <c r="B10" s="9">
        <v>1601155691</v>
      </c>
      <c r="C10" s="6" t="s">
        <v>93</v>
      </c>
      <c r="D10" s="6" t="s">
        <v>94</v>
      </c>
      <c r="E10" s="6" t="s">
        <v>34</v>
      </c>
      <c r="F10" s="6" t="s">
        <v>36</v>
      </c>
      <c r="G10" s="6" t="s">
        <v>95</v>
      </c>
      <c r="H10" s="6" t="s">
        <v>96</v>
      </c>
      <c r="I10" s="6" t="s">
        <v>38</v>
      </c>
      <c r="J10" s="6" t="s">
        <v>97</v>
      </c>
      <c r="K10" s="6" t="s">
        <v>98</v>
      </c>
      <c r="L10" s="6" t="s">
        <v>41</v>
      </c>
      <c r="M10" s="6" t="s">
        <v>54</v>
      </c>
      <c r="N10" s="6" t="s">
        <v>42</v>
      </c>
      <c r="O10" s="11" t="s">
        <v>99</v>
      </c>
      <c r="P10" s="11" t="s">
        <v>99</v>
      </c>
      <c r="Q10" s="11" t="s">
        <v>100</v>
      </c>
      <c r="R10" s="11" t="s">
        <v>100</v>
      </c>
      <c r="S10" s="12">
        <v>7521</v>
      </c>
      <c r="T10" s="12">
        <v>7721</v>
      </c>
      <c r="U10" s="12">
        <f t="shared" ref="U10:U11" si="1">SUM(T10-S10)</f>
        <v>200</v>
      </c>
      <c r="V10" s="6">
        <v>200</v>
      </c>
      <c r="W10" s="6">
        <v>0</v>
      </c>
      <c r="X10" s="6" t="s">
        <v>41</v>
      </c>
      <c r="Y10" s="11">
        <v>0.13125000000000001</v>
      </c>
      <c r="Z10" s="6" t="s">
        <v>41</v>
      </c>
      <c r="AA10" s="11">
        <v>0.20833333333333334</v>
      </c>
      <c r="AB10" s="6" t="s">
        <v>41</v>
      </c>
      <c r="AC10" s="2">
        <v>5.3</v>
      </c>
      <c r="AD10" s="2">
        <v>130</v>
      </c>
      <c r="AE10" s="2">
        <v>1060</v>
      </c>
      <c r="AF10" s="2" t="s">
        <v>41</v>
      </c>
      <c r="AG10" s="2" t="s">
        <v>41</v>
      </c>
      <c r="AH10" s="2">
        <v>35</v>
      </c>
      <c r="AI10" s="2">
        <f t="shared" si="0"/>
        <v>1095</v>
      </c>
      <c r="AJ10" s="9" t="s">
        <v>84</v>
      </c>
    </row>
    <row r="11" spans="2:36" s="9" customFormat="1" ht="20.149999999999999" customHeight="1" x14ac:dyDescent="0.35">
      <c r="B11" s="9">
        <v>1601155693</v>
      </c>
      <c r="C11" s="6" t="s">
        <v>101</v>
      </c>
      <c r="D11" s="6" t="s">
        <v>94</v>
      </c>
      <c r="E11" s="6" t="s">
        <v>70</v>
      </c>
      <c r="F11" s="6" t="s">
        <v>80</v>
      </c>
      <c r="G11" s="6" t="s">
        <v>61</v>
      </c>
      <c r="H11" s="6" t="s">
        <v>79</v>
      </c>
      <c r="I11" s="6" t="s">
        <v>62</v>
      </c>
      <c r="J11" s="6" t="s">
        <v>102</v>
      </c>
      <c r="K11" s="6" t="s">
        <v>103</v>
      </c>
      <c r="L11" s="6" t="s">
        <v>104</v>
      </c>
      <c r="M11" s="6" t="s">
        <v>54</v>
      </c>
      <c r="N11" s="6" t="s">
        <v>105</v>
      </c>
      <c r="O11" s="11" t="s">
        <v>99</v>
      </c>
      <c r="P11" s="11" t="s">
        <v>99</v>
      </c>
      <c r="Q11" s="11" t="s">
        <v>106</v>
      </c>
      <c r="R11" s="11" t="s">
        <v>106</v>
      </c>
      <c r="S11" s="12">
        <v>11224</v>
      </c>
      <c r="T11" s="12">
        <v>11374</v>
      </c>
      <c r="U11" s="12">
        <f t="shared" si="1"/>
        <v>150</v>
      </c>
      <c r="V11" s="6">
        <v>150</v>
      </c>
      <c r="W11" s="13" t="s">
        <v>107</v>
      </c>
      <c r="X11" s="6" t="s">
        <v>41</v>
      </c>
      <c r="Y11" s="11">
        <v>0.125</v>
      </c>
      <c r="Z11" s="6" t="s">
        <v>41</v>
      </c>
      <c r="AA11" s="11">
        <v>0.16666666666666666</v>
      </c>
      <c r="AB11" s="6" t="s">
        <v>41</v>
      </c>
      <c r="AC11" s="2">
        <v>5.3</v>
      </c>
      <c r="AD11" s="2">
        <v>130</v>
      </c>
      <c r="AE11" s="2">
        <v>795</v>
      </c>
      <c r="AF11" s="2" t="s">
        <v>41</v>
      </c>
      <c r="AG11" s="2" t="s">
        <v>41</v>
      </c>
      <c r="AH11" s="2">
        <v>34.4</v>
      </c>
      <c r="AI11" s="2">
        <f t="shared" si="0"/>
        <v>829.4</v>
      </c>
      <c r="AJ11" s="9" t="s">
        <v>85</v>
      </c>
    </row>
    <row r="12" spans="2:36" ht="20.149999999999999" customHeight="1" x14ac:dyDescent="0.3">
      <c r="B12" s="9">
        <v>1601155787</v>
      </c>
      <c r="C12" s="6" t="s">
        <v>108</v>
      </c>
      <c r="D12" s="6" t="s">
        <v>109</v>
      </c>
      <c r="E12" s="6" t="s">
        <v>35</v>
      </c>
      <c r="F12" s="6" t="s">
        <v>37</v>
      </c>
      <c r="G12" s="6" t="s">
        <v>34</v>
      </c>
      <c r="H12" s="6" t="s">
        <v>36</v>
      </c>
      <c r="I12" s="6" t="s">
        <v>38</v>
      </c>
      <c r="J12" s="6" t="s">
        <v>110</v>
      </c>
      <c r="K12" s="6" t="s">
        <v>111</v>
      </c>
      <c r="L12" s="6" t="s">
        <v>41</v>
      </c>
      <c r="M12" s="6" t="s">
        <v>53</v>
      </c>
      <c r="N12" s="6" t="s">
        <v>54</v>
      </c>
      <c r="O12" s="11" t="s">
        <v>112</v>
      </c>
      <c r="P12" s="11" t="s">
        <v>112</v>
      </c>
      <c r="Q12" s="11" t="s">
        <v>113</v>
      </c>
      <c r="R12" s="11" t="s">
        <v>113</v>
      </c>
      <c r="S12" s="12">
        <v>8663</v>
      </c>
      <c r="T12" s="12">
        <v>8730</v>
      </c>
      <c r="U12" s="12">
        <f>SUM(T12-S12)</f>
        <v>67</v>
      </c>
      <c r="V12" s="6">
        <v>100</v>
      </c>
      <c r="W12" s="6" t="s">
        <v>41</v>
      </c>
      <c r="X12" s="6" t="s">
        <v>41</v>
      </c>
      <c r="Y12" s="11">
        <v>0.20972222222222223</v>
      </c>
      <c r="Z12" s="6"/>
      <c r="AA12" s="11">
        <v>0.125</v>
      </c>
      <c r="AB12" s="11">
        <v>8.4722222222222213E-2</v>
      </c>
      <c r="AC12" s="2">
        <v>5.3</v>
      </c>
      <c r="AD12" s="2">
        <v>130</v>
      </c>
      <c r="AE12" s="2">
        <v>500</v>
      </c>
      <c r="AF12" s="2" t="s">
        <v>41</v>
      </c>
      <c r="AG12" s="2">
        <v>263.89999999999998</v>
      </c>
      <c r="AH12" s="2">
        <v>16.7</v>
      </c>
      <c r="AI12" s="2">
        <f>SUM(AH12+AG12+AE12)</f>
        <v>780.59999999999991</v>
      </c>
      <c r="AJ12" s="9" t="s">
        <v>85</v>
      </c>
    </row>
    <row r="13" spans="2:36" ht="20.149999999999999" customHeight="1" x14ac:dyDescent="0.3">
      <c r="B13" s="9">
        <v>1601155787</v>
      </c>
      <c r="C13" s="6" t="s">
        <v>114</v>
      </c>
      <c r="D13" s="6" t="s">
        <v>109</v>
      </c>
      <c r="E13" s="6" t="s">
        <v>115</v>
      </c>
      <c r="F13" s="6" t="s">
        <v>79</v>
      </c>
      <c r="G13" s="6" t="s">
        <v>116</v>
      </c>
      <c r="H13" s="6" t="s">
        <v>80</v>
      </c>
      <c r="I13" s="6" t="s">
        <v>62</v>
      </c>
      <c r="J13" s="6" t="s">
        <v>110</v>
      </c>
      <c r="K13" s="6" t="s">
        <v>111</v>
      </c>
      <c r="L13" s="6" t="s">
        <v>41</v>
      </c>
      <c r="M13" s="6" t="s">
        <v>53</v>
      </c>
      <c r="N13" s="6" t="s">
        <v>54</v>
      </c>
      <c r="O13" s="11" t="s">
        <v>112</v>
      </c>
      <c r="P13" s="11" t="s">
        <v>112</v>
      </c>
      <c r="Q13" s="11" t="s">
        <v>113</v>
      </c>
      <c r="R13" s="11" t="s">
        <v>113</v>
      </c>
      <c r="S13" s="12">
        <v>12626</v>
      </c>
      <c r="T13" s="12">
        <v>12693</v>
      </c>
      <c r="U13" s="12">
        <f>SUM(T13-S13)</f>
        <v>67</v>
      </c>
      <c r="V13" s="6">
        <v>100</v>
      </c>
      <c r="W13" s="6" t="s">
        <v>41</v>
      </c>
      <c r="X13" s="6" t="s">
        <v>41</v>
      </c>
      <c r="Y13" s="11">
        <v>0.20972222222222223</v>
      </c>
      <c r="Z13" s="6"/>
      <c r="AA13" s="11">
        <v>0.125</v>
      </c>
      <c r="AB13" s="11">
        <v>8.4722222222222213E-2</v>
      </c>
      <c r="AC13" s="2">
        <v>5.3</v>
      </c>
      <c r="AD13" s="2">
        <v>130</v>
      </c>
      <c r="AE13" s="2">
        <v>500</v>
      </c>
      <c r="AF13" s="2" t="s">
        <v>41</v>
      </c>
      <c r="AG13" s="2">
        <v>263.89999999999998</v>
      </c>
      <c r="AH13" s="2">
        <v>16.7</v>
      </c>
      <c r="AI13" s="2">
        <f>SUM(AH13+AG13+AE13)</f>
        <v>780.59999999999991</v>
      </c>
      <c r="AJ13" s="9" t="s">
        <v>85</v>
      </c>
    </row>
    <row r="14" spans="2:36" ht="20.149999999999999" customHeight="1" x14ac:dyDescent="0.3">
      <c r="B14" s="9">
        <v>1601155816</v>
      </c>
      <c r="C14" s="10" t="s">
        <v>117</v>
      </c>
      <c r="D14" s="6" t="s">
        <v>109</v>
      </c>
      <c r="E14" s="6" t="s">
        <v>115</v>
      </c>
      <c r="F14" s="6" t="s">
        <v>79</v>
      </c>
      <c r="G14" s="6" t="s">
        <v>116</v>
      </c>
      <c r="H14" s="6" t="s">
        <v>80</v>
      </c>
      <c r="I14" s="6" t="s">
        <v>62</v>
      </c>
      <c r="J14" s="6" t="s">
        <v>118</v>
      </c>
      <c r="K14" s="6" t="s">
        <v>119</v>
      </c>
      <c r="L14" s="10" t="s">
        <v>120</v>
      </c>
      <c r="M14" s="6" t="s">
        <v>53</v>
      </c>
      <c r="N14" s="6" t="s">
        <v>54</v>
      </c>
      <c r="O14" s="11" t="s">
        <v>121</v>
      </c>
      <c r="P14" s="11" t="s">
        <v>121</v>
      </c>
      <c r="Q14" s="11" t="s">
        <v>122</v>
      </c>
      <c r="R14" s="11" t="s">
        <v>122</v>
      </c>
      <c r="S14" s="12">
        <v>12703</v>
      </c>
      <c r="T14" s="12">
        <v>12759</v>
      </c>
      <c r="U14" s="12">
        <f>SUM(T14-S14)</f>
        <v>56</v>
      </c>
      <c r="V14" s="6">
        <v>100</v>
      </c>
      <c r="W14" s="6" t="s">
        <v>41</v>
      </c>
      <c r="X14" s="6" t="s">
        <v>41</v>
      </c>
      <c r="Y14" s="11">
        <v>0.11041666666666666</v>
      </c>
      <c r="Z14" s="6"/>
      <c r="AA14" s="11">
        <v>0.125</v>
      </c>
      <c r="AB14" s="11" t="s">
        <v>41</v>
      </c>
      <c r="AC14" s="2">
        <v>5.3</v>
      </c>
      <c r="AD14" s="2">
        <v>130</v>
      </c>
      <c r="AE14" s="2">
        <v>500</v>
      </c>
      <c r="AF14" s="2" t="s">
        <v>41</v>
      </c>
      <c r="AG14" s="2" t="s">
        <v>41</v>
      </c>
      <c r="AH14" s="2">
        <v>16.7</v>
      </c>
      <c r="AI14" s="2">
        <f>SUM(AH14+AE14)</f>
        <v>516.70000000000005</v>
      </c>
      <c r="AJ14" s="2" t="s">
        <v>84</v>
      </c>
    </row>
    <row r="15" spans="2:36" ht="20.149999999999999" customHeight="1" x14ac:dyDescent="0.3">
      <c r="B15" s="9">
        <v>1601155816</v>
      </c>
      <c r="C15" s="10" t="s">
        <v>123</v>
      </c>
      <c r="D15" s="6" t="s">
        <v>109</v>
      </c>
      <c r="E15" s="6" t="s">
        <v>35</v>
      </c>
      <c r="F15" s="6" t="s">
        <v>37</v>
      </c>
      <c r="G15" s="6" t="s">
        <v>34</v>
      </c>
      <c r="H15" s="6" t="s">
        <v>36</v>
      </c>
      <c r="I15" s="6" t="s">
        <v>38</v>
      </c>
      <c r="J15" s="6" t="s">
        <v>118</v>
      </c>
      <c r="K15" s="6" t="s">
        <v>119</v>
      </c>
      <c r="L15" s="10" t="s">
        <v>120</v>
      </c>
      <c r="M15" s="6" t="s">
        <v>53</v>
      </c>
      <c r="N15" s="6" t="s">
        <v>54</v>
      </c>
      <c r="O15" s="11" t="s">
        <v>121</v>
      </c>
      <c r="P15" s="11" t="s">
        <v>121</v>
      </c>
      <c r="Q15" s="11" t="s">
        <v>122</v>
      </c>
      <c r="R15" s="11" t="s">
        <v>122</v>
      </c>
      <c r="S15" s="12">
        <v>8734</v>
      </c>
      <c r="T15" s="12">
        <v>8790</v>
      </c>
      <c r="U15" s="12">
        <f>SUM(T15-S15)</f>
        <v>56</v>
      </c>
      <c r="V15" s="6">
        <v>100</v>
      </c>
      <c r="W15" s="6" t="s">
        <v>41</v>
      </c>
      <c r="X15" s="6" t="s">
        <v>41</v>
      </c>
      <c r="Y15" s="11">
        <v>0.11041666666666666</v>
      </c>
      <c r="Z15" s="6"/>
      <c r="AA15" s="11">
        <v>0.125</v>
      </c>
      <c r="AB15" s="11" t="s">
        <v>41</v>
      </c>
      <c r="AC15" s="2">
        <v>5.3</v>
      </c>
      <c r="AD15" s="2">
        <v>130</v>
      </c>
      <c r="AE15" s="2">
        <v>500</v>
      </c>
      <c r="AF15" s="2" t="s">
        <v>41</v>
      </c>
      <c r="AG15" s="2" t="s">
        <v>41</v>
      </c>
      <c r="AH15" s="2">
        <v>16.7</v>
      </c>
      <c r="AI15" s="2">
        <f>SUM(AH15+AE15)</f>
        <v>516.70000000000005</v>
      </c>
      <c r="AJ15" s="2" t="s">
        <v>84</v>
      </c>
    </row>
    <row r="16" spans="2:36" ht="20.149999999999999" customHeight="1" x14ac:dyDescent="0.3">
      <c r="B16" s="9">
        <v>1601155829</v>
      </c>
      <c r="C16" s="10" t="s">
        <v>124</v>
      </c>
      <c r="D16" s="6" t="s">
        <v>109</v>
      </c>
      <c r="E16" s="6" t="s">
        <v>35</v>
      </c>
      <c r="F16" s="6" t="s">
        <v>37</v>
      </c>
      <c r="G16" s="6" t="s">
        <v>34</v>
      </c>
      <c r="H16" s="6" t="s">
        <v>36</v>
      </c>
      <c r="I16" s="6" t="s">
        <v>38</v>
      </c>
      <c r="J16" s="6" t="s">
        <v>125</v>
      </c>
      <c r="K16" s="6" t="s">
        <v>126</v>
      </c>
      <c r="L16" s="10" t="s">
        <v>127</v>
      </c>
      <c r="M16" s="6" t="s">
        <v>54</v>
      </c>
      <c r="N16" s="6" t="s">
        <v>42</v>
      </c>
      <c r="O16" s="6" t="s">
        <v>128</v>
      </c>
      <c r="P16" s="6" t="s">
        <v>128</v>
      </c>
      <c r="Q16" s="6" t="s">
        <v>129</v>
      </c>
      <c r="R16" s="6" t="s">
        <v>129</v>
      </c>
      <c r="S16" s="12">
        <v>8853</v>
      </c>
      <c r="T16" s="12">
        <v>9053</v>
      </c>
      <c r="U16" s="10">
        <f>SUM(T16-S16)</f>
        <v>200</v>
      </c>
      <c r="V16" s="10">
        <v>200</v>
      </c>
      <c r="W16" s="6" t="s">
        <v>41</v>
      </c>
      <c r="X16" s="6" t="s">
        <v>41</v>
      </c>
      <c r="Y16" s="11">
        <v>0.18263888888888891</v>
      </c>
      <c r="Z16" s="6"/>
      <c r="AA16" s="11">
        <v>0.20833333333333334</v>
      </c>
      <c r="AB16" s="11" t="s">
        <v>41</v>
      </c>
      <c r="AC16" s="2">
        <v>5.3</v>
      </c>
      <c r="AD16" s="2">
        <v>130</v>
      </c>
      <c r="AE16" s="2">
        <v>1060</v>
      </c>
      <c r="AF16" s="2" t="s">
        <v>41</v>
      </c>
      <c r="AG16" s="2" t="s">
        <v>41</v>
      </c>
      <c r="AH16" s="2">
        <v>32.6</v>
      </c>
      <c r="AI16" s="2">
        <f>SUM(AH16+AE16)</f>
        <v>1092.5999999999999</v>
      </c>
      <c r="AJ16" s="2" t="s">
        <v>85</v>
      </c>
    </row>
    <row r="17" spans="2:36" x14ac:dyDescent="0.3">
      <c r="B17" s="8">
        <v>1601155985</v>
      </c>
      <c r="C17" s="10" t="s">
        <v>130</v>
      </c>
      <c r="D17" s="6" t="s">
        <v>87</v>
      </c>
      <c r="E17" s="6" t="s">
        <v>131</v>
      </c>
      <c r="F17" s="6" t="s">
        <v>37</v>
      </c>
      <c r="G17" s="6" t="s">
        <v>46</v>
      </c>
      <c r="H17" s="6" t="s">
        <v>36</v>
      </c>
      <c r="I17" s="6" t="s">
        <v>48</v>
      </c>
      <c r="J17" s="6" t="s">
        <v>132</v>
      </c>
      <c r="K17" s="6" t="s">
        <v>133</v>
      </c>
      <c r="L17" s="10" t="s">
        <v>104</v>
      </c>
      <c r="M17" s="6" t="s">
        <v>54</v>
      </c>
      <c r="N17" s="6" t="s">
        <v>134</v>
      </c>
      <c r="O17" s="6" t="s">
        <v>135</v>
      </c>
      <c r="P17" s="6" t="s">
        <v>136</v>
      </c>
      <c r="Q17" s="6" t="s">
        <v>137</v>
      </c>
      <c r="R17" s="6" t="s">
        <v>137</v>
      </c>
      <c r="S17" s="12">
        <v>10052</v>
      </c>
      <c r="T17" s="12">
        <v>10252</v>
      </c>
      <c r="U17" s="10">
        <v>200</v>
      </c>
      <c r="V17" s="10">
        <v>200</v>
      </c>
      <c r="W17" s="6" t="s">
        <v>41</v>
      </c>
      <c r="X17" s="6" t="s">
        <v>41</v>
      </c>
      <c r="Y17" s="11">
        <v>0.15972222222222224</v>
      </c>
      <c r="Z17" s="6" t="s">
        <v>41</v>
      </c>
      <c r="AA17" s="11">
        <v>0.20833333333333334</v>
      </c>
      <c r="AB17" s="11" t="s">
        <v>41</v>
      </c>
      <c r="AC17" s="2">
        <v>5.3</v>
      </c>
      <c r="AD17" s="2">
        <v>130</v>
      </c>
      <c r="AE17" s="2">
        <v>1060</v>
      </c>
      <c r="AF17" s="2">
        <v>0</v>
      </c>
      <c r="AG17" s="2">
        <v>0</v>
      </c>
      <c r="AH17" s="2">
        <v>32.6</v>
      </c>
      <c r="AI17" s="2">
        <f>SUM(AH17+AE17)</f>
        <v>1092.5999999999999</v>
      </c>
      <c r="AJ17" s="2" t="s">
        <v>85</v>
      </c>
    </row>
    <row r="19" spans="2:36" ht="14.5" x14ac:dyDescent="0.35">
      <c r="AI19" s="16">
        <f>SUM(AI2:AI17)</f>
        <v>12364.200000000003</v>
      </c>
    </row>
  </sheetData>
  <pageMargins left="0.511811024" right="0.511811024" top="0.78740157499999996" bottom="0.78740157499999996" header="0.31496062000000002" footer="0.31496062000000002"/>
  <pageSetup paperSize="9" scale="35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Boletim de Medição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de Souza Fernandes</dc:creator>
  <cp:lastModifiedBy>Mickael | Grupo TM SEG</cp:lastModifiedBy>
  <cp:lastPrinted>2026-05-04T14:22:15Z</cp:lastPrinted>
  <dcterms:created xsi:type="dcterms:W3CDTF">2023-09-28T20:07:27Z</dcterms:created>
  <dcterms:modified xsi:type="dcterms:W3CDTF">2026-05-04T14:22:58Z</dcterms:modified>
</cp:coreProperties>
</file>