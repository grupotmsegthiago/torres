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3C352C85-B7A5-4EF5-9513-CD6A8A96256F}" xr6:coauthVersionLast="47" xr6:coauthVersionMax="47" xr10:uidLastSave="{00000000-0000-0000-0000-000000000000}"/>
  <bookViews>
    <workbookView xWindow="-110" yWindow="-110" windowWidth="19420" windowHeight="10300" xr2:uid="{2F83ABD5-438A-4492-8E87-3715C29DB478}"/>
  </bookViews>
  <sheets>
    <sheet name="SUDESTE" sheetId="1" r:id="rId1"/>
    <sheet name="SUL" sheetId="2" r:id="rId2"/>
  </sheets>
  <definedNames>
    <definedName name="_xlnm._FilterDatabase" localSheetId="0" hidden="1">SUDESTE!$A$2:$G$47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6" i="1" l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14" i="1"/>
  <c r="C15" i="1"/>
  <c r="C4" i="1"/>
  <c r="C5" i="1"/>
  <c r="C6" i="1"/>
  <c r="C7" i="1"/>
  <c r="C8" i="1"/>
  <c r="C9" i="1"/>
  <c r="C10" i="1"/>
  <c r="C11" i="1"/>
  <c r="C12" i="1"/>
  <c r="C13" i="1"/>
  <c r="C3" i="1"/>
</calcChain>
</file>

<file path=xl/sharedStrings.xml><?xml version="1.0" encoding="utf-8"?>
<sst xmlns="http://schemas.openxmlformats.org/spreadsheetml/2006/main" count="130" uniqueCount="49">
  <si>
    <t>ORIGEM</t>
  </si>
  <si>
    <t>DESTINO</t>
  </si>
  <si>
    <t>VALOR</t>
  </si>
  <si>
    <t>FRANQUIA DE KM</t>
  </si>
  <si>
    <t>FRANQUIA HORA</t>
  </si>
  <si>
    <t>VALOR KM EXC</t>
  </si>
  <si>
    <t>VALOR HORA EXC</t>
  </si>
  <si>
    <t>BARUERI-SP</t>
  </si>
  <si>
    <t>VALINHOS-SP</t>
  </si>
  <si>
    <t>SANTOS-SP</t>
  </si>
  <si>
    <t>CAMPINAS-SP</t>
  </si>
  <si>
    <t>MOOCA-SP</t>
  </si>
  <si>
    <t>SÃO PAULO-SP</t>
  </si>
  <si>
    <t>GUARUJA-SP</t>
  </si>
  <si>
    <t>CAJAMAR-SP</t>
  </si>
  <si>
    <t>ITAJAI-SC</t>
  </si>
  <si>
    <t>BELÉM-PA</t>
  </si>
  <si>
    <t>SANTO ANDRÉ-SP</t>
  </si>
  <si>
    <t>EMBU DAS ARTES-SP</t>
  </si>
  <si>
    <t>GUARULHOS-SP</t>
  </si>
  <si>
    <t>LIMEIRA-SP</t>
  </si>
  <si>
    <t>AMERICANA-SP</t>
  </si>
  <si>
    <t>MOGI MIRIM-SP</t>
  </si>
  <si>
    <t>OSASCO-SP</t>
  </si>
  <si>
    <t>VARGEM GRANDE PAULISTA-SP</t>
  </si>
  <si>
    <t>SÃO JOSÉ DOS CAMPOS-SP</t>
  </si>
  <si>
    <t>VITORIA-ES</t>
  </si>
  <si>
    <t>AMPARO-SP</t>
  </si>
  <si>
    <t>CAMPOS DO JORDÃO-SP</t>
  </si>
  <si>
    <t>BARREIRAS-BA</t>
  </si>
  <si>
    <t>RIBEIRÃO GONÇALVES-PI</t>
  </si>
  <si>
    <t>TOLEDO-PR</t>
  </si>
  <si>
    <t>PAULINIA-SP</t>
  </si>
  <si>
    <t>FRANCO DA ROCHA-SP</t>
  </si>
  <si>
    <t>JOINVILE-SC</t>
  </si>
  <si>
    <t>CONFINS-MG</t>
  </si>
  <si>
    <t>SÃO JOSÉ DOS PINHAIS-PR</t>
  </si>
  <si>
    <t>ARAGUAINA-TO</t>
  </si>
  <si>
    <t>RIO DE JANEIRO-RJ</t>
  </si>
  <si>
    <t>ITAPOÁ-SC</t>
  </si>
  <si>
    <t>AEROPORTO DE FLORIANOPOLIS-SC</t>
  </si>
  <si>
    <t>ESPIRITO SANTO-ES</t>
  </si>
  <si>
    <t>BRASILIA-DF</t>
  </si>
  <si>
    <t>SOROCABA-SP</t>
  </si>
  <si>
    <t>TORRES SEGURANÇA x  CLIENTE MULTILOG, PROPOSTA PARA SOLICITAÇÃO DE ESCOLTA ARMADA.</t>
  </si>
  <si>
    <t>GRUPO TORRES SEGURANÇA x  CLIENTE MULTILOG REGIÃO SUL, PROPOSTA PARA SOLICITAÇÃO DE ESCOLTA ARMADA.</t>
  </si>
  <si>
    <t>PORTONAVE-SC</t>
  </si>
  <si>
    <t>PEDAGIOS COBRADO A PARTE, TAXA DE CANCELAMENTO APÓS A EQUIPE SAIR DA BASE: R$ 350,00  ATÉ  40KMS, PASSOU DISSO 100% DO VALOR DA MISSÃO,  VALORES DAS OPERAÇÕES VALÍDOS NÍVEL BRASIL.</t>
  </si>
  <si>
    <t>PEDAGIOS COBRADO A PARTE, TAXA DE CANCELAMENTO APÓS A EQUIPE SAIR DA 500,00 BASE: R$  ATÉ 100  KMS, PASSOU DISSO 80% DO VALOR DA MISSÃO,  VALORES DAS OPERAÇÕES, SAINDO SUL, PRA TODO O BRASIL..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</si>
</sst>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2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44" fontId="0" fillId="0" borderId="1" xfId="1" applyFont="1" applyBorder="1" applyAlignment="1">
      <alignment horizontal="center"/>
    </xf>
    <xf numFmtId="44" fontId="0" fillId="4" borderId="0" xfId="1" applyFont="1" applyFill="1" applyBorder="1" applyAlignment="1">
      <alignment horizontal="center"/>
    </xf>
    <xf numFmtId="44" fontId="0" fillId="0" borderId="0" xfId="1" applyFont="1" applyBorder="1" applyAlignment="1">
      <alignment horizontal="center"/>
    </xf>
    <xf numFmtId="0" fontId="0" fillId="0" borderId="0" xfId="0" applyFont="1"/>
    <xf numFmtId="0" fontId="0" fillId="5" borderId="1" xfId="0" applyFont="1" applyFill="1" applyBorder="1" applyAlignment="1">
      <alignment horizontal="center"/>
    </xf>
    <xf numFmtId="3" fontId="0" fillId="0" borderId="1" xfId="0" applyNumberFormat="1" applyFont="1" applyBorder="1" applyAlignment="1">
      <alignment horizontal="center"/>
    </xf>
    <xf numFmtId="46" fontId="0" fillId="0" borderId="1" xfId="0" applyNumberFormat="1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20" fontId="0" fillId="0" borderId="1" xfId="0" applyNumberFormat="1" applyFont="1" applyBorder="1" applyAlignment="1">
      <alignment horizontal="center"/>
    </xf>
    <xf numFmtId="0" fontId="0" fillId="0" borderId="1" xfId="0" applyFont="1" applyBorder="1" applyAlignment="1">
      <alignment horizontal="center" vertical="center"/>
    </xf>
    <xf numFmtId="3" fontId="0" fillId="0" borderId="1" xfId="0" applyNumberFormat="1" applyFont="1" applyBorder="1" applyAlignment="1">
      <alignment horizontal="center" vertical="center"/>
    </xf>
    <xf numFmtId="0" fontId="0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 vertical="center"/>
    </xf>
    <xf numFmtId="3" fontId="0" fillId="4" borderId="0" xfId="0" applyNumberFormat="1" applyFont="1" applyFill="1" applyAlignment="1">
      <alignment horizontal="center"/>
    </xf>
    <xf numFmtId="46" fontId="0" fillId="4" borderId="0" xfId="0" applyNumberFormat="1" applyFont="1" applyFill="1" applyAlignment="1">
      <alignment horizontal="center"/>
    </xf>
    <xf numFmtId="0" fontId="4" fillId="4" borderId="0" xfId="0" applyFont="1" applyFill="1" applyAlignment="1">
      <alignment horizontal="center" vertical="center"/>
    </xf>
    <xf numFmtId="3" fontId="4" fillId="4" borderId="0" xfId="0" applyNumberFormat="1" applyFont="1" applyFill="1" applyAlignment="1">
      <alignment horizontal="center" vertical="center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center" vertical="center"/>
    </xf>
    <xf numFmtId="46" fontId="0" fillId="0" borderId="0" xfId="0" applyNumberFormat="1" applyFont="1" applyAlignment="1">
      <alignment horizontal="center"/>
    </xf>
    <xf numFmtId="3" fontId="0" fillId="0" borderId="0" xfId="0" applyNumberFormat="1" applyFont="1" applyAlignment="1">
      <alignment horizontal="center" vertical="center"/>
    </xf>
    <xf numFmtId="0" fontId="5" fillId="5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0" fillId="3" borderId="2" xfId="0" applyFont="1" applyFill="1" applyBorder="1" applyAlignment="1">
      <alignment horizontal="right" vertical="center"/>
    </xf>
    <xf numFmtId="0" fontId="0" fillId="3" borderId="3" xfId="0" applyFont="1" applyFill="1" applyBorder="1" applyAlignment="1">
      <alignment horizontal="right" vertical="center"/>
    </xf>
    <xf numFmtId="0" fontId="0" fillId="3" borderId="4" xfId="0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3" borderId="5" xfId="0" applyFont="1" applyFill="1" applyBorder="1" applyAlignment="1">
      <alignment horizontal="right" vertical="center"/>
    </xf>
    <xf numFmtId="0" fontId="0" fillId="3" borderId="6" xfId="0" applyFont="1" applyFill="1" applyBorder="1" applyAlignment="1">
      <alignment horizontal="right" vertical="center"/>
    </xf>
    <xf numFmtId="0" fontId="0" fillId="3" borderId="7" xfId="0" applyFont="1" applyFill="1" applyBorder="1" applyAlignment="1">
      <alignment horizontal="right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7D1CE-53BB-4056-8C55-9E6C71E64CA4}">
  <sheetPr>
    <pageSetUpPr fitToPage="1"/>
  </sheetPr>
  <dimension ref="A1:G47"/>
  <sheetViews>
    <sheetView showGridLines="0" tabSelected="1" zoomScale="85" zoomScaleNormal="85" workbookViewId="0">
      <selection activeCell="A47" sqref="A1:G47"/>
    </sheetView>
  </sheetViews>
  <sheetFormatPr defaultColWidth="8.90625" defaultRowHeight="14.5" x14ac:dyDescent="0.35"/>
  <cols>
    <col min="1" max="1" width="30.08984375" style="4" customWidth="1"/>
    <col min="2" max="2" width="32.36328125" style="4" bestFit="1" customWidth="1"/>
    <col min="3" max="3" width="19.6328125" style="4" customWidth="1"/>
    <col min="4" max="4" width="16.90625" style="4" customWidth="1"/>
    <col min="5" max="5" width="18" style="4" customWidth="1"/>
    <col min="6" max="6" width="19.08984375" style="4" customWidth="1"/>
    <col min="7" max="7" width="31.81640625" style="4" customWidth="1"/>
    <col min="8" max="16384" width="8.90625" style="4"/>
  </cols>
  <sheetData>
    <row r="1" spans="1:7" ht="41.25" customHeight="1" x14ac:dyDescent="0.35">
      <c r="A1" s="23" t="s">
        <v>44</v>
      </c>
      <c r="B1" s="23"/>
      <c r="C1" s="23"/>
      <c r="D1" s="23"/>
      <c r="E1" s="23"/>
      <c r="F1" s="23"/>
      <c r="G1" s="23"/>
    </row>
    <row r="2" spans="1:7" ht="16" x14ac:dyDescent="0.4">
      <c r="A2" s="22" t="s">
        <v>0</v>
      </c>
      <c r="B2" s="22" t="s">
        <v>1</v>
      </c>
      <c r="C2" s="22" t="s">
        <v>2</v>
      </c>
      <c r="D2" s="22" t="s">
        <v>3</v>
      </c>
      <c r="E2" s="22" t="s">
        <v>4</v>
      </c>
      <c r="F2" s="22" t="s">
        <v>5</v>
      </c>
      <c r="G2" s="22" t="s">
        <v>6</v>
      </c>
    </row>
    <row r="3" spans="1:7" x14ac:dyDescent="0.35">
      <c r="A3" s="5" t="s">
        <v>7</v>
      </c>
      <c r="B3" s="10" t="s">
        <v>8</v>
      </c>
      <c r="C3" s="1">
        <f>SUM(D3*5.46)</f>
        <v>546</v>
      </c>
      <c r="D3" s="6">
        <v>100</v>
      </c>
      <c r="E3" s="7">
        <v>0.125</v>
      </c>
      <c r="F3" s="1">
        <v>5.46</v>
      </c>
      <c r="G3" s="1">
        <v>150</v>
      </c>
    </row>
    <row r="4" spans="1:7" x14ac:dyDescent="0.35">
      <c r="A4" s="5" t="s">
        <v>9</v>
      </c>
      <c r="B4" s="10" t="s">
        <v>10</v>
      </c>
      <c r="C4" s="1">
        <f t="shared" ref="C4:C46" si="0">SUM(D4*5.46)</f>
        <v>546</v>
      </c>
      <c r="D4" s="6">
        <v>100</v>
      </c>
      <c r="E4" s="7">
        <v>0.20833333333333334</v>
      </c>
      <c r="F4" s="1">
        <v>5.46</v>
      </c>
      <c r="G4" s="1">
        <v>150</v>
      </c>
    </row>
    <row r="5" spans="1:7" x14ac:dyDescent="0.35">
      <c r="A5" s="5" t="s">
        <v>9</v>
      </c>
      <c r="B5" s="10" t="s">
        <v>11</v>
      </c>
      <c r="C5" s="1">
        <f t="shared" si="0"/>
        <v>546</v>
      </c>
      <c r="D5" s="6">
        <v>100</v>
      </c>
      <c r="E5" s="7">
        <v>0.125</v>
      </c>
      <c r="F5" s="1">
        <v>5.46</v>
      </c>
      <c r="G5" s="1">
        <v>150</v>
      </c>
    </row>
    <row r="6" spans="1:7" x14ac:dyDescent="0.35">
      <c r="A6" s="5" t="s">
        <v>9</v>
      </c>
      <c r="B6" s="10" t="s">
        <v>7</v>
      </c>
      <c r="C6" s="1">
        <f t="shared" si="0"/>
        <v>546</v>
      </c>
      <c r="D6" s="6">
        <v>100</v>
      </c>
      <c r="E6" s="7">
        <v>0.125</v>
      </c>
      <c r="F6" s="1">
        <v>5.46</v>
      </c>
      <c r="G6" s="1">
        <v>150</v>
      </c>
    </row>
    <row r="7" spans="1:7" x14ac:dyDescent="0.35">
      <c r="A7" s="5" t="s">
        <v>9</v>
      </c>
      <c r="B7" s="10" t="s">
        <v>12</v>
      </c>
      <c r="C7" s="1">
        <f t="shared" si="0"/>
        <v>546</v>
      </c>
      <c r="D7" s="6">
        <v>100</v>
      </c>
      <c r="E7" s="7">
        <v>0.125</v>
      </c>
      <c r="F7" s="1">
        <v>5.46</v>
      </c>
      <c r="G7" s="1">
        <v>150</v>
      </c>
    </row>
    <row r="8" spans="1:7" x14ac:dyDescent="0.35">
      <c r="A8" s="5" t="s">
        <v>13</v>
      </c>
      <c r="B8" s="10" t="s">
        <v>12</v>
      </c>
      <c r="C8" s="1">
        <f t="shared" si="0"/>
        <v>546</v>
      </c>
      <c r="D8" s="6">
        <v>100</v>
      </c>
      <c r="E8" s="7">
        <v>0.125</v>
      </c>
      <c r="F8" s="1">
        <v>5.46</v>
      </c>
      <c r="G8" s="1">
        <v>150</v>
      </c>
    </row>
    <row r="9" spans="1:7" x14ac:dyDescent="0.35">
      <c r="A9" s="5" t="s">
        <v>13</v>
      </c>
      <c r="B9" s="10" t="s">
        <v>7</v>
      </c>
      <c r="C9" s="1">
        <f t="shared" si="0"/>
        <v>709.8</v>
      </c>
      <c r="D9" s="6">
        <v>130</v>
      </c>
      <c r="E9" s="7">
        <v>0.125</v>
      </c>
      <c r="F9" s="1">
        <v>5.46</v>
      </c>
      <c r="G9" s="1">
        <v>150</v>
      </c>
    </row>
    <row r="10" spans="1:7" x14ac:dyDescent="0.35">
      <c r="A10" s="5" t="s">
        <v>13</v>
      </c>
      <c r="B10" s="10" t="s">
        <v>10</v>
      </c>
      <c r="C10" s="1">
        <f t="shared" si="0"/>
        <v>1092</v>
      </c>
      <c r="D10" s="6">
        <v>200</v>
      </c>
      <c r="E10" s="7">
        <v>0.20833333333333334</v>
      </c>
      <c r="F10" s="1">
        <v>5.46</v>
      </c>
      <c r="G10" s="1">
        <v>150</v>
      </c>
    </row>
    <row r="11" spans="1:7" x14ac:dyDescent="0.35">
      <c r="A11" s="5" t="s">
        <v>9</v>
      </c>
      <c r="B11" s="10" t="s">
        <v>8</v>
      </c>
      <c r="C11" s="1">
        <f t="shared" si="0"/>
        <v>982.8</v>
      </c>
      <c r="D11" s="6">
        <v>180</v>
      </c>
      <c r="E11" s="7">
        <v>0.1875</v>
      </c>
      <c r="F11" s="1">
        <v>5.46</v>
      </c>
      <c r="G11" s="1">
        <v>150</v>
      </c>
    </row>
    <row r="12" spans="1:7" x14ac:dyDescent="0.35">
      <c r="A12" s="5" t="s">
        <v>13</v>
      </c>
      <c r="B12" s="10" t="s">
        <v>8</v>
      </c>
      <c r="C12" s="1">
        <f t="shared" si="0"/>
        <v>1092</v>
      </c>
      <c r="D12" s="6">
        <v>200</v>
      </c>
      <c r="E12" s="7">
        <v>0.20833333333333334</v>
      </c>
      <c r="F12" s="1">
        <v>5.46</v>
      </c>
      <c r="G12" s="1">
        <v>150</v>
      </c>
    </row>
    <row r="13" spans="1:7" x14ac:dyDescent="0.35">
      <c r="A13" s="5" t="s">
        <v>7</v>
      </c>
      <c r="B13" s="10" t="s">
        <v>14</v>
      </c>
      <c r="C13" s="1">
        <f t="shared" si="0"/>
        <v>546</v>
      </c>
      <c r="D13" s="6">
        <v>100</v>
      </c>
      <c r="E13" s="7">
        <v>0.125</v>
      </c>
      <c r="F13" s="1">
        <v>5.46</v>
      </c>
      <c r="G13" s="1">
        <v>150</v>
      </c>
    </row>
    <row r="14" spans="1:7" x14ac:dyDescent="0.35">
      <c r="A14" s="5" t="s">
        <v>7</v>
      </c>
      <c r="B14" s="10" t="s">
        <v>15</v>
      </c>
      <c r="C14" s="1">
        <f>SUM(D14*5.46)</f>
        <v>3276</v>
      </c>
      <c r="D14" s="6">
        <v>600</v>
      </c>
      <c r="E14" s="7">
        <v>0.625</v>
      </c>
      <c r="F14" s="1">
        <v>5.46</v>
      </c>
      <c r="G14" s="1">
        <v>150</v>
      </c>
    </row>
    <row r="15" spans="1:7" x14ac:dyDescent="0.35">
      <c r="A15" s="5" t="s">
        <v>7</v>
      </c>
      <c r="B15" s="10" t="s">
        <v>16</v>
      </c>
      <c r="C15" s="1">
        <f t="shared" si="0"/>
        <v>15834</v>
      </c>
      <c r="D15" s="6">
        <v>2900</v>
      </c>
      <c r="E15" s="7">
        <v>3.125</v>
      </c>
      <c r="F15" s="1">
        <v>5.46</v>
      </c>
      <c r="G15" s="1">
        <v>150</v>
      </c>
    </row>
    <row r="16" spans="1:7" x14ac:dyDescent="0.35">
      <c r="A16" s="5" t="s">
        <v>7</v>
      </c>
      <c r="B16" s="10" t="s">
        <v>7</v>
      </c>
      <c r="C16" s="1">
        <f t="shared" si="0"/>
        <v>546</v>
      </c>
      <c r="D16" s="6">
        <v>100</v>
      </c>
      <c r="E16" s="7">
        <v>0.125</v>
      </c>
      <c r="F16" s="1">
        <v>5.46</v>
      </c>
      <c r="G16" s="1">
        <v>150</v>
      </c>
    </row>
    <row r="17" spans="1:7" x14ac:dyDescent="0.35">
      <c r="A17" s="5" t="s">
        <v>7</v>
      </c>
      <c r="B17" s="10" t="s">
        <v>12</v>
      </c>
      <c r="C17" s="1">
        <f t="shared" si="0"/>
        <v>546</v>
      </c>
      <c r="D17" s="6">
        <v>100</v>
      </c>
      <c r="E17" s="7">
        <v>0.125</v>
      </c>
      <c r="F17" s="1">
        <v>5.46</v>
      </c>
      <c r="G17" s="1">
        <v>150</v>
      </c>
    </row>
    <row r="18" spans="1:7" x14ac:dyDescent="0.35">
      <c r="A18" s="5" t="s">
        <v>7</v>
      </c>
      <c r="B18" s="10" t="s">
        <v>17</v>
      </c>
      <c r="C18" s="1">
        <f t="shared" si="0"/>
        <v>546</v>
      </c>
      <c r="D18" s="6">
        <v>100</v>
      </c>
      <c r="E18" s="7">
        <v>0.125</v>
      </c>
      <c r="F18" s="1">
        <v>5.46</v>
      </c>
      <c r="G18" s="1">
        <v>150</v>
      </c>
    </row>
    <row r="19" spans="1:7" x14ac:dyDescent="0.35">
      <c r="A19" s="5" t="s">
        <v>7</v>
      </c>
      <c r="B19" s="10" t="s">
        <v>18</v>
      </c>
      <c r="C19" s="1">
        <f t="shared" si="0"/>
        <v>546</v>
      </c>
      <c r="D19" s="6">
        <v>100</v>
      </c>
      <c r="E19" s="7">
        <v>0.125</v>
      </c>
      <c r="F19" s="1">
        <v>5.46</v>
      </c>
      <c r="G19" s="1">
        <v>150</v>
      </c>
    </row>
    <row r="20" spans="1:7" x14ac:dyDescent="0.35">
      <c r="A20" s="5" t="s">
        <v>7</v>
      </c>
      <c r="B20" s="10" t="s">
        <v>19</v>
      </c>
      <c r="C20" s="1">
        <f t="shared" si="0"/>
        <v>546</v>
      </c>
      <c r="D20" s="6">
        <v>100</v>
      </c>
      <c r="E20" s="7">
        <v>0.125</v>
      </c>
      <c r="F20" s="1">
        <v>5.46</v>
      </c>
      <c r="G20" s="1">
        <v>150</v>
      </c>
    </row>
    <row r="21" spans="1:7" x14ac:dyDescent="0.35">
      <c r="A21" s="5" t="s">
        <v>7</v>
      </c>
      <c r="B21" s="10" t="s">
        <v>20</v>
      </c>
      <c r="C21" s="1">
        <f t="shared" si="0"/>
        <v>819</v>
      </c>
      <c r="D21" s="8">
        <v>150</v>
      </c>
      <c r="E21" s="7">
        <v>0.16666666666666666</v>
      </c>
      <c r="F21" s="1">
        <v>5.46</v>
      </c>
      <c r="G21" s="1">
        <v>150</v>
      </c>
    </row>
    <row r="22" spans="1:7" x14ac:dyDescent="0.35">
      <c r="A22" s="5" t="s">
        <v>7</v>
      </c>
      <c r="B22" s="10" t="s">
        <v>21</v>
      </c>
      <c r="C22" s="1">
        <f t="shared" si="0"/>
        <v>709.8</v>
      </c>
      <c r="D22" s="6">
        <v>130</v>
      </c>
      <c r="E22" s="7">
        <v>0.125</v>
      </c>
      <c r="F22" s="1">
        <v>5.46</v>
      </c>
      <c r="G22" s="1">
        <v>150</v>
      </c>
    </row>
    <row r="23" spans="1:7" x14ac:dyDescent="0.35">
      <c r="A23" s="5" t="s">
        <v>7</v>
      </c>
      <c r="B23" s="10" t="s">
        <v>22</v>
      </c>
      <c r="C23" s="1">
        <f t="shared" si="0"/>
        <v>819</v>
      </c>
      <c r="D23" s="6">
        <v>150</v>
      </c>
      <c r="E23" s="7">
        <v>0.16666666666666666</v>
      </c>
      <c r="F23" s="1">
        <v>5.46</v>
      </c>
      <c r="G23" s="1">
        <v>150</v>
      </c>
    </row>
    <row r="24" spans="1:7" x14ac:dyDescent="0.35">
      <c r="A24" s="5" t="s">
        <v>7</v>
      </c>
      <c r="B24" s="10" t="s">
        <v>14</v>
      </c>
      <c r="C24" s="1">
        <f t="shared" si="0"/>
        <v>546</v>
      </c>
      <c r="D24" s="6">
        <v>100</v>
      </c>
      <c r="E24" s="7">
        <v>0.125</v>
      </c>
      <c r="F24" s="1">
        <v>5.46</v>
      </c>
      <c r="G24" s="1">
        <v>150</v>
      </c>
    </row>
    <row r="25" spans="1:7" x14ac:dyDescent="0.35">
      <c r="A25" s="5" t="s">
        <v>23</v>
      </c>
      <c r="B25" s="10" t="s">
        <v>24</v>
      </c>
      <c r="C25" s="1">
        <f t="shared" si="0"/>
        <v>546</v>
      </c>
      <c r="D25" s="6">
        <v>100</v>
      </c>
      <c r="E25" s="7">
        <v>0.125</v>
      </c>
      <c r="F25" s="1">
        <v>5.46</v>
      </c>
      <c r="G25" s="1">
        <v>150</v>
      </c>
    </row>
    <row r="26" spans="1:7" x14ac:dyDescent="0.35">
      <c r="A26" s="5" t="s">
        <v>9</v>
      </c>
      <c r="B26" s="8" t="s">
        <v>25</v>
      </c>
      <c r="C26" s="1">
        <f t="shared" si="0"/>
        <v>819</v>
      </c>
      <c r="D26" s="10">
        <v>150</v>
      </c>
      <c r="E26" s="7">
        <v>0.16666666666666666</v>
      </c>
      <c r="F26" s="1">
        <v>5.46</v>
      </c>
      <c r="G26" s="1">
        <v>150</v>
      </c>
    </row>
    <row r="27" spans="1:7" x14ac:dyDescent="0.35">
      <c r="A27" s="5" t="s">
        <v>9</v>
      </c>
      <c r="B27" s="19" t="s">
        <v>26</v>
      </c>
      <c r="C27" s="1">
        <f t="shared" si="0"/>
        <v>5460</v>
      </c>
      <c r="D27" s="6">
        <v>1000</v>
      </c>
      <c r="E27" s="7">
        <v>1.0416666666666667</v>
      </c>
      <c r="F27" s="1">
        <v>5.46</v>
      </c>
      <c r="G27" s="1">
        <v>150</v>
      </c>
    </row>
    <row r="28" spans="1:7" x14ac:dyDescent="0.35">
      <c r="A28" s="5" t="s">
        <v>9</v>
      </c>
      <c r="B28" s="8" t="s">
        <v>27</v>
      </c>
      <c r="C28" s="1">
        <f t="shared" si="0"/>
        <v>1092</v>
      </c>
      <c r="D28" s="8">
        <v>200</v>
      </c>
      <c r="E28" s="9">
        <v>0.20833333333333334</v>
      </c>
      <c r="F28" s="1">
        <v>5.46</v>
      </c>
      <c r="G28" s="1">
        <v>150</v>
      </c>
    </row>
    <row r="29" spans="1:7" x14ac:dyDescent="0.35">
      <c r="A29" s="5" t="s">
        <v>9</v>
      </c>
      <c r="B29" s="8" t="s">
        <v>28</v>
      </c>
      <c r="C29" s="1">
        <f t="shared" si="0"/>
        <v>1310.4000000000001</v>
      </c>
      <c r="D29" s="6">
        <v>240</v>
      </c>
      <c r="E29" s="7">
        <v>0.25</v>
      </c>
      <c r="F29" s="1">
        <v>5.46</v>
      </c>
      <c r="G29" s="1">
        <v>150</v>
      </c>
    </row>
    <row r="30" spans="1:7" x14ac:dyDescent="0.35">
      <c r="A30" s="5" t="s">
        <v>9</v>
      </c>
      <c r="B30" s="8" t="s">
        <v>29</v>
      </c>
      <c r="C30" s="1">
        <f t="shared" si="0"/>
        <v>9009</v>
      </c>
      <c r="D30" s="11">
        <v>1650</v>
      </c>
      <c r="E30" s="7">
        <v>1.75</v>
      </c>
      <c r="F30" s="1">
        <v>5.46</v>
      </c>
      <c r="G30" s="1">
        <v>150</v>
      </c>
    </row>
    <row r="31" spans="1:7" x14ac:dyDescent="0.35">
      <c r="A31" s="5" t="s">
        <v>9</v>
      </c>
      <c r="B31" s="8" t="s">
        <v>30</v>
      </c>
      <c r="C31" s="1">
        <f t="shared" si="0"/>
        <v>12831</v>
      </c>
      <c r="D31" s="10">
        <v>2350</v>
      </c>
      <c r="E31" s="7">
        <v>2.5</v>
      </c>
      <c r="F31" s="1">
        <v>5.46</v>
      </c>
      <c r="G31" s="1">
        <v>150</v>
      </c>
    </row>
    <row r="32" spans="1:7" x14ac:dyDescent="0.35">
      <c r="A32" s="5" t="s">
        <v>9</v>
      </c>
      <c r="B32" s="8" t="s">
        <v>31</v>
      </c>
      <c r="C32" s="1">
        <f t="shared" si="0"/>
        <v>5460</v>
      </c>
      <c r="D32" s="11">
        <v>1000</v>
      </c>
      <c r="E32" s="7">
        <v>1.0416666666666667</v>
      </c>
      <c r="F32" s="1">
        <v>5.46</v>
      </c>
      <c r="G32" s="1">
        <v>150</v>
      </c>
    </row>
    <row r="33" spans="1:7" x14ac:dyDescent="0.35">
      <c r="A33" s="5" t="s">
        <v>10</v>
      </c>
      <c r="B33" s="8" t="s">
        <v>10</v>
      </c>
      <c r="C33" s="1">
        <f t="shared" si="0"/>
        <v>546</v>
      </c>
      <c r="D33" s="10">
        <v>100</v>
      </c>
      <c r="E33" s="7">
        <v>0.125</v>
      </c>
      <c r="F33" s="1">
        <v>5.46</v>
      </c>
      <c r="G33" s="1">
        <v>150</v>
      </c>
    </row>
    <row r="34" spans="1:7" x14ac:dyDescent="0.35">
      <c r="A34" s="5" t="s">
        <v>10</v>
      </c>
      <c r="B34" s="8" t="s">
        <v>7</v>
      </c>
      <c r="C34" s="1">
        <f t="shared" si="0"/>
        <v>546</v>
      </c>
      <c r="D34" s="10">
        <v>100</v>
      </c>
      <c r="E34" s="7">
        <v>0.125</v>
      </c>
      <c r="F34" s="1">
        <v>5.46</v>
      </c>
      <c r="G34" s="1">
        <v>150</v>
      </c>
    </row>
    <row r="35" spans="1:7" x14ac:dyDescent="0.35">
      <c r="A35" s="5" t="s">
        <v>10</v>
      </c>
      <c r="B35" s="8" t="s">
        <v>12</v>
      </c>
      <c r="C35" s="1">
        <f t="shared" si="0"/>
        <v>546</v>
      </c>
      <c r="D35" s="10">
        <v>100</v>
      </c>
      <c r="E35" s="7">
        <v>0.125</v>
      </c>
      <c r="F35" s="1">
        <v>5.46</v>
      </c>
      <c r="G35" s="1">
        <v>150</v>
      </c>
    </row>
    <row r="36" spans="1:7" x14ac:dyDescent="0.35">
      <c r="A36" s="5" t="s">
        <v>10</v>
      </c>
      <c r="B36" s="8" t="s">
        <v>32</v>
      </c>
      <c r="C36" s="1">
        <f t="shared" si="0"/>
        <v>546</v>
      </c>
      <c r="D36" s="10">
        <v>100</v>
      </c>
      <c r="E36" s="7">
        <v>0.125</v>
      </c>
      <c r="F36" s="1">
        <v>5.46</v>
      </c>
      <c r="G36" s="1">
        <v>150</v>
      </c>
    </row>
    <row r="37" spans="1:7" x14ac:dyDescent="0.35">
      <c r="A37" s="5" t="s">
        <v>10</v>
      </c>
      <c r="B37" s="8" t="s">
        <v>8</v>
      </c>
      <c r="C37" s="1">
        <f t="shared" si="0"/>
        <v>546</v>
      </c>
      <c r="D37" s="10">
        <v>100</v>
      </c>
      <c r="E37" s="7">
        <v>0.125</v>
      </c>
      <c r="F37" s="1">
        <v>5.46</v>
      </c>
      <c r="G37" s="1">
        <v>150</v>
      </c>
    </row>
    <row r="38" spans="1:7" x14ac:dyDescent="0.35">
      <c r="A38" s="5" t="s">
        <v>10</v>
      </c>
      <c r="B38" s="8" t="s">
        <v>33</v>
      </c>
      <c r="C38" s="1">
        <f t="shared" si="0"/>
        <v>546</v>
      </c>
      <c r="D38" s="11">
        <v>100</v>
      </c>
      <c r="E38" s="7">
        <v>0.125</v>
      </c>
      <c r="F38" s="1">
        <v>5.46</v>
      </c>
      <c r="G38" s="1">
        <v>150</v>
      </c>
    </row>
    <row r="39" spans="1:7" x14ac:dyDescent="0.35">
      <c r="A39" s="5" t="s">
        <v>10</v>
      </c>
      <c r="B39" s="8" t="s">
        <v>34</v>
      </c>
      <c r="C39" s="1">
        <f t="shared" si="0"/>
        <v>3276</v>
      </c>
      <c r="D39" s="11">
        <v>600</v>
      </c>
      <c r="E39" s="7">
        <v>0.625</v>
      </c>
      <c r="F39" s="1">
        <v>5.46</v>
      </c>
      <c r="G39" s="1">
        <v>150</v>
      </c>
    </row>
    <row r="40" spans="1:7" x14ac:dyDescent="0.35">
      <c r="A40" s="5" t="s">
        <v>10</v>
      </c>
      <c r="B40" s="8" t="s">
        <v>15</v>
      </c>
      <c r="C40" s="1">
        <f t="shared" si="0"/>
        <v>3712.8</v>
      </c>
      <c r="D40" s="10">
        <v>680</v>
      </c>
      <c r="E40" s="7">
        <v>0.70833333333333337</v>
      </c>
      <c r="F40" s="1">
        <v>5.46</v>
      </c>
      <c r="G40" s="1">
        <v>150</v>
      </c>
    </row>
    <row r="41" spans="1:7" x14ac:dyDescent="0.35">
      <c r="A41" s="5" t="s">
        <v>13</v>
      </c>
      <c r="B41" s="8" t="s">
        <v>35</v>
      </c>
      <c r="C41" s="1">
        <f t="shared" si="0"/>
        <v>3822</v>
      </c>
      <c r="D41" s="10">
        <v>700</v>
      </c>
      <c r="E41" s="7">
        <v>0.66666666666666663</v>
      </c>
      <c r="F41" s="1">
        <v>5.46</v>
      </c>
      <c r="G41" s="1">
        <v>150</v>
      </c>
    </row>
    <row r="42" spans="1:7" x14ac:dyDescent="0.35">
      <c r="A42" s="5" t="s">
        <v>19</v>
      </c>
      <c r="B42" s="8" t="s">
        <v>34</v>
      </c>
      <c r="C42" s="1">
        <f t="shared" si="0"/>
        <v>3003</v>
      </c>
      <c r="D42" s="11">
        <v>550</v>
      </c>
      <c r="E42" s="7">
        <v>0.54166666666666663</v>
      </c>
      <c r="F42" s="1">
        <v>5.46</v>
      </c>
      <c r="G42" s="1">
        <v>150</v>
      </c>
    </row>
    <row r="43" spans="1:7" x14ac:dyDescent="0.35">
      <c r="A43" s="5" t="s">
        <v>19</v>
      </c>
      <c r="B43" s="8" t="s">
        <v>36</v>
      </c>
      <c r="C43" s="1">
        <f t="shared" si="0"/>
        <v>2457</v>
      </c>
      <c r="D43" s="11">
        <v>450</v>
      </c>
      <c r="E43" s="7">
        <v>0.5</v>
      </c>
      <c r="F43" s="1">
        <v>5.46</v>
      </c>
      <c r="G43" s="1">
        <v>150</v>
      </c>
    </row>
    <row r="44" spans="1:7" x14ac:dyDescent="0.35">
      <c r="A44" s="5" t="s">
        <v>19</v>
      </c>
      <c r="B44" s="8" t="s">
        <v>15</v>
      </c>
      <c r="C44" s="1">
        <f t="shared" si="0"/>
        <v>3439.8</v>
      </c>
      <c r="D44" s="10">
        <v>630</v>
      </c>
      <c r="E44" s="7">
        <v>0.66666666666666663</v>
      </c>
      <c r="F44" s="1">
        <v>5.46</v>
      </c>
      <c r="G44" s="1">
        <v>150</v>
      </c>
    </row>
    <row r="45" spans="1:7" x14ac:dyDescent="0.35">
      <c r="A45" s="5" t="s">
        <v>10</v>
      </c>
      <c r="B45" s="8" t="s">
        <v>36</v>
      </c>
      <c r="C45" s="1">
        <f t="shared" si="0"/>
        <v>2675.4</v>
      </c>
      <c r="D45" s="11">
        <v>490</v>
      </c>
      <c r="E45" s="7">
        <v>0.5</v>
      </c>
      <c r="F45" s="1">
        <v>5.46</v>
      </c>
      <c r="G45" s="1">
        <v>150</v>
      </c>
    </row>
    <row r="46" spans="1:7" ht="19.5" customHeight="1" x14ac:dyDescent="0.35">
      <c r="A46" s="5" t="s">
        <v>32</v>
      </c>
      <c r="B46" s="8" t="s">
        <v>37</v>
      </c>
      <c r="C46" s="1">
        <f t="shared" si="0"/>
        <v>10592.4</v>
      </c>
      <c r="D46" s="11">
        <v>1940</v>
      </c>
      <c r="E46" s="7">
        <v>2.0833333333333335</v>
      </c>
      <c r="F46" s="1">
        <v>5.46</v>
      </c>
      <c r="G46" s="1">
        <v>150</v>
      </c>
    </row>
    <row r="47" spans="1:7" ht="21.75" customHeight="1" x14ac:dyDescent="0.35">
      <c r="A47" s="24" t="s">
        <v>47</v>
      </c>
      <c r="B47" s="25"/>
      <c r="C47" s="25"/>
      <c r="D47" s="25"/>
      <c r="E47" s="25"/>
      <c r="F47" s="25"/>
      <c r="G47" s="26"/>
    </row>
  </sheetData>
  <mergeCells count="2">
    <mergeCell ref="A1:G1"/>
    <mergeCell ref="A47:G47"/>
  </mergeCells>
  <pageMargins left="0.511811024" right="0.511811024" top="0.78740157499999996" bottom="0.78740157499999996" header="0.31496062000000002" footer="0.31496062000000002"/>
  <pageSetup paperSize="9" scale="62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CC0BF-1E32-4B0C-B996-A5B93A864F58}">
  <dimension ref="A1:G53"/>
  <sheetViews>
    <sheetView showGridLines="0" workbookViewId="0">
      <selection activeCell="F7" sqref="F7"/>
    </sheetView>
  </sheetViews>
  <sheetFormatPr defaultColWidth="8.90625" defaultRowHeight="14.5" x14ac:dyDescent="0.35"/>
  <cols>
    <col min="1" max="1" width="31.6328125" style="4" bestFit="1" customWidth="1"/>
    <col min="2" max="2" width="32.36328125" style="4" bestFit="1" customWidth="1"/>
    <col min="3" max="3" width="19.6328125" style="4" customWidth="1"/>
    <col min="4" max="4" width="16.90625" style="4" customWidth="1"/>
    <col min="5" max="5" width="18" style="4" customWidth="1"/>
    <col min="6" max="6" width="19.08984375" style="4" customWidth="1"/>
    <col min="7" max="7" width="29.6328125" style="4" customWidth="1"/>
    <col min="8" max="16384" width="8.90625" style="4"/>
  </cols>
  <sheetData>
    <row r="1" spans="1:7" ht="41.25" customHeight="1" x14ac:dyDescent="0.35">
      <c r="A1" s="27" t="s">
        <v>45</v>
      </c>
      <c r="B1" s="28"/>
      <c r="C1" s="28"/>
      <c r="D1" s="28"/>
      <c r="E1" s="28"/>
      <c r="F1" s="28"/>
      <c r="G1" s="29"/>
    </row>
    <row r="2" spans="1:7" ht="16" x14ac:dyDescent="0.4">
      <c r="A2" s="22" t="s">
        <v>0</v>
      </c>
      <c r="B2" s="22" t="s">
        <v>1</v>
      </c>
      <c r="C2" s="22" t="s">
        <v>2</v>
      </c>
      <c r="D2" s="22" t="s">
        <v>3</v>
      </c>
      <c r="E2" s="22" t="s">
        <v>4</v>
      </c>
      <c r="F2" s="22" t="s">
        <v>5</v>
      </c>
      <c r="G2" s="22" t="s">
        <v>6</v>
      </c>
    </row>
    <row r="3" spans="1:7" x14ac:dyDescent="0.35">
      <c r="A3" s="5" t="s">
        <v>39</v>
      </c>
      <c r="B3" s="10" t="s">
        <v>15</v>
      </c>
      <c r="C3" s="1">
        <v>885</v>
      </c>
      <c r="D3" s="6">
        <v>150</v>
      </c>
      <c r="E3" s="7">
        <v>0.16666666666666666</v>
      </c>
      <c r="F3" s="1"/>
      <c r="G3" s="1"/>
    </row>
    <row r="4" spans="1:7" x14ac:dyDescent="0.35">
      <c r="A4" s="5" t="s">
        <v>46</v>
      </c>
      <c r="B4" s="10" t="s">
        <v>15</v>
      </c>
      <c r="C4" s="1">
        <v>590</v>
      </c>
      <c r="D4" s="6">
        <v>100</v>
      </c>
      <c r="E4" s="7">
        <v>0.125</v>
      </c>
      <c r="F4" s="1"/>
      <c r="G4" s="1"/>
    </row>
    <row r="5" spans="1:7" x14ac:dyDescent="0.35">
      <c r="A5" s="5" t="s">
        <v>39</v>
      </c>
      <c r="B5" s="10" t="s">
        <v>34</v>
      </c>
      <c r="C5" s="1">
        <v>590</v>
      </c>
      <c r="D5" s="6">
        <v>100</v>
      </c>
      <c r="E5" s="7">
        <v>0.125</v>
      </c>
      <c r="F5" s="1"/>
      <c r="G5" s="1"/>
    </row>
    <row r="6" spans="1:7" x14ac:dyDescent="0.35">
      <c r="A6" s="5" t="s">
        <v>40</v>
      </c>
      <c r="B6" s="10" t="s">
        <v>15</v>
      </c>
      <c r="C6" s="1">
        <v>590</v>
      </c>
      <c r="D6" s="6">
        <v>100</v>
      </c>
      <c r="E6" s="7">
        <v>0.125</v>
      </c>
      <c r="F6" s="1"/>
      <c r="G6" s="1"/>
    </row>
    <row r="7" spans="1:7" x14ac:dyDescent="0.35">
      <c r="A7" s="5" t="s">
        <v>15</v>
      </c>
      <c r="B7" s="10" t="s">
        <v>24</v>
      </c>
      <c r="C7" s="1">
        <v>4086.4</v>
      </c>
      <c r="D7" s="6">
        <v>600</v>
      </c>
      <c r="E7" s="7">
        <v>0.625</v>
      </c>
      <c r="F7" s="1"/>
      <c r="G7" s="1"/>
    </row>
    <row r="8" spans="1:7" x14ac:dyDescent="0.35">
      <c r="A8" s="5" t="s">
        <v>15</v>
      </c>
      <c r="B8" s="10" t="s">
        <v>12</v>
      </c>
      <c r="C8" s="1">
        <v>4086.4</v>
      </c>
      <c r="D8" s="6">
        <v>600</v>
      </c>
      <c r="E8" s="7">
        <v>0.625</v>
      </c>
      <c r="F8" s="1"/>
      <c r="G8" s="1"/>
    </row>
    <row r="9" spans="1:7" x14ac:dyDescent="0.35">
      <c r="A9" s="5" t="s">
        <v>15</v>
      </c>
      <c r="B9" s="10" t="s">
        <v>38</v>
      </c>
      <c r="C9" s="1">
        <v>6687</v>
      </c>
      <c r="D9" s="6">
        <v>1035</v>
      </c>
      <c r="E9" s="7">
        <v>1.0833333333333333</v>
      </c>
      <c r="F9" s="1"/>
      <c r="G9" s="1"/>
    </row>
    <row r="10" spans="1:7" x14ac:dyDescent="0.35">
      <c r="A10" s="5" t="s">
        <v>15</v>
      </c>
      <c r="B10" s="10" t="s">
        <v>41</v>
      </c>
      <c r="C10" s="1">
        <v>9644.2000000000007</v>
      </c>
      <c r="D10" s="6">
        <v>1542</v>
      </c>
      <c r="E10" s="7">
        <v>1.625</v>
      </c>
      <c r="F10" s="1"/>
      <c r="G10" s="1"/>
    </row>
    <row r="11" spans="1:7" x14ac:dyDescent="0.35">
      <c r="A11" s="5" t="s">
        <v>15</v>
      </c>
      <c r="B11" s="10" t="s">
        <v>42</v>
      </c>
      <c r="C11" s="1">
        <v>9986.4</v>
      </c>
      <c r="D11" s="6">
        <v>1600</v>
      </c>
      <c r="E11" s="7">
        <v>1.6666666666666667</v>
      </c>
      <c r="F11" s="1"/>
      <c r="G11" s="1"/>
    </row>
    <row r="12" spans="1:7" x14ac:dyDescent="0.35">
      <c r="A12" s="5" t="s">
        <v>15</v>
      </c>
      <c r="B12" s="10" t="s">
        <v>43</v>
      </c>
      <c r="C12" s="1">
        <v>4086.4</v>
      </c>
      <c r="D12" s="6">
        <v>600</v>
      </c>
      <c r="E12" s="7">
        <v>0.625</v>
      </c>
      <c r="F12" s="1"/>
      <c r="G12" s="1"/>
    </row>
    <row r="13" spans="1:7" x14ac:dyDescent="0.35">
      <c r="A13" s="5" t="s">
        <v>15</v>
      </c>
      <c r="B13" s="10" t="s">
        <v>20</v>
      </c>
      <c r="C13" s="1">
        <v>4794.3999999999996</v>
      </c>
      <c r="D13" s="6">
        <v>720</v>
      </c>
      <c r="E13" s="7">
        <v>0.75</v>
      </c>
      <c r="F13" s="1"/>
      <c r="G13" s="1"/>
    </row>
    <row r="14" spans="1:7" x14ac:dyDescent="0.35">
      <c r="A14" s="5" t="s">
        <v>15</v>
      </c>
      <c r="B14" s="10" t="s">
        <v>22</v>
      </c>
      <c r="C14" s="1">
        <v>4853.3999999999996</v>
      </c>
      <c r="D14" s="6">
        <v>730</v>
      </c>
      <c r="E14" s="7">
        <v>0.77083333333333337</v>
      </c>
      <c r="F14" s="1"/>
      <c r="G14" s="1"/>
    </row>
    <row r="15" spans="1:7" x14ac:dyDescent="0.35">
      <c r="A15" s="30" t="s">
        <v>48</v>
      </c>
      <c r="B15" s="31"/>
      <c r="C15" s="31"/>
      <c r="D15" s="31"/>
      <c r="E15" s="31"/>
      <c r="F15" s="31"/>
      <c r="G15" s="32"/>
    </row>
    <row r="16" spans="1:7" x14ac:dyDescent="0.35">
      <c r="A16" s="12"/>
      <c r="B16" s="13"/>
      <c r="C16" s="2"/>
      <c r="D16" s="14"/>
      <c r="E16" s="15"/>
      <c r="F16" s="2"/>
      <c r="G16" s="2"/>
    </row>
    <row r="17" spans="1:7" x14ac:dyDescent="0.35">
      <c r="A17" s="16"/>
      <c r="B17" s="17"/>
      <c r="C17" s="2"/>
      <c r="D17" s="17"/>
      <c r="E17" s="16"/>
      <c r="F17" s="2"/>
      <c r="G17" s="2"/>
    </row>
    <row r="18" spans="1:7" x14ac:dyDescent="0.35">
      <c r="A18" s="16"/>
      <c r="B18" s="17"/>
      <c r="C18" s="2"/>
      <c r="D18" s="17"/>
      <c r="E18" s="16"/>
      <c r="F18" s="2"/>
      <c r="G18" s="2"/>
    </row>
    <row r="19" spans="1:7" x14ac:dyDescent="0.35">
      <c r="A19" s="16"/>
      <c r="B19" s="17"/>
      <c r="C19" s="2"/>
      <c r="D19" s="17"/>
      <c r="E19" s="16"/>
      <c r="F19" s="2"/>
      <c r="G19" s="2"/>
    </row>
    <row r="21" spans="1:7" x14ac:dyDescent="0.35">
      <c r="A21" s="16"/>
      <c r="B21" s="17"/>
      <c r="C21" s="2"/>
      <c r="D21" s="17"/>
      <c r="E21" s="16"/>
      <c r="F21" s="2"/>
      <c r="G21" s="2"/>
    </row>
    <row r="22" spans="1:7" x14ac:dyDescent="0.35">
      <c r="A22" s="16"/>
      <c r="B22" s="17"/>
      <c r="C22" s="2"/>
      <c r="D22" s="17"/>
      <c r="E22" s="16"/>
      <c r="F22" s="2"/>
      <c r="G22" s="2"/>
    </row>
    <row r="23" spans="1:7" x14ac:dyDescent="0.35">
      <c r="A23" s="16"/>
      <c r="B23" s="17"/>
      <c r="C23" s="2"/>
      <c r="D23" s="17"/>
      <c r="E23" s="16"/>
      <c r="F23" s="2"/>
      <c r="G23" s="2"/>
    </row>
    <row r="24" spans="1:7" x14ac:dyDescent="0.35">
      <c r="A24" s="16"/>
      <c r="B24" s="17"/>
      <c r="C24" s="2"/>
      <c r="D24" s="17"/>
      <c r="E24" s="16"/>
      <c r="F24" s="2"/>
      <c r="G24" s="2"/>
    </row>
    <row r="25" spans="1:7" x14ac:dyDescent="0.35">
      <c r="A25" s="16"/>
      <c r="B25" s="17"/>
      <c r="C25" s="2"/>
      <c r="D25" s="17"/>
      <c r="E25" s="16"/>
      <c r="F25" s="2"/>
      <c r="G25" s="2"/>
    </row>
    <row r="26" spans="1:7" x14ac:dyDescent="0.35">
      <c r="A26" s="16"/>
      <c r="B26" s="17"/>
      <c r="C26" s="2"/>
      <c r="D26" s="17"/>
      <c r="E26" s="16"/>
      <c r="F26" s="2"/>
      <c r="G26" s="2"/>
    </row>
    <row r="27" spans="1:7" x14ac:dyDescent="0.35">
      <c r="A27" s="16"/>
      <c r="B27" s="17"/>
      <c r="C27" s="2"/>
      <c r="D27" s="17"/>
      <c r="E27" s="16"/>
      <c r="F27" s="2"/>
      <c r="G27" s="2"/>
    </row>
    <row r="28" spans="1:7" x14ac:dyDescent="0.35">
      <c r="A28" s="16"/>
      <c r="B28" s="17"/>
      <c r="C28" s="2"/>
      <c r="D28" s="17"/>
      <c r="E28" s="16"/>
      <c r="F28" s="2"/>
      <c r="G28" s="2"/>
    </row>
    <row r="29" spans="1:7" x14ac:dyDescent="0.35">
      <c r="A29" s="16"/>
      <c r="B29" s="17"/>
      <c r="C29" s="2"/>
      <c r="D29" s="17"/>
      <c r="E29" s="16"/>
      <c r="F29" s="2"/>
      <c r="G29" s="2"/>
    </row>
    <row r="30" spans="1:7" x14ac:dyDescent="0.35">
      <c r="A30" s="16"/>
      <c r="B30" s="17"/>
      <c r="C30" s="2"/>
      <c r="D30" s="17"/>
      <c r="E30" s="16"/>
      <c r="F30" s="2"/>
      <c r="G30" s="2"/>
    </row>
    <row r="31" spans="1:7" x14ac:dyDescent="0.35">
      <c r="A31" s="16"/>
      <c r="B31" s="17"/>
      <c r="C31" s="2"/>
      <c r="D31" s="17"/>
      <c r="E31" s="16"/>
      <c r="F31" s="2"/>
      <c r="G31" s="2"/>
    </row>
    <row r="32" spans="1:7" x14ac:dyDescent="0.35">
      <c r="A32" s="16"/>
      <c r="B32" s="17"/>
      <c r="C32" s="2"/>
      <c r="D32" s="17"/>
      <c r="E32" s="16"/>
      <c r="F32" s="2"/>
      <c r="G32" s="2"/>
    </row>
    <row r="33" spans="1:7" x14ac:dyDescent="0.35">
      <c r="A33" s="16"/>
      <c r="B33" s="17"/>
      <c r="C33" s="2"/>
      <c r="D33" s="17"/>
      <c r="E33" s="16"/>
      <c r="F33" s="2"/>
      <c r="G33" s="2"/>
    </row>
    <row r="34" spans="1:7" x14ac:dyDescent="0.35">
      <c r="A34" s="16"/>
      <c r="B34" s="17"/>
      <c r="C34" s="2"/>
      <c r="D34" s="17"/>
      <c r="E34" s="16"/>
      <c r="F34" s="2"/>
      <c r="G34" s="2"/>
    </row>
    <row r="35" spans="1:7" x14ac:dyDescent="0.35">
      <c r="A35" s="16"/>
      <c r="B35" s="17"/>
      <c r="C35" s="2"/>
      <c r="D35" s="17"/>
      <c r="E35" s="16"/>
      <c r="F35" s="2"/>
      <c r="G35" s="2"/>
    </row>
    <row r="36" spans="1:7" x14ac:dyDescent="0.35">
      <c r="A36" s="16"/>
      <c r="B36" s="17"/>
      <c r="C36" s="2"/>
      <c r="D36" s="17"/>
      <c r="E36" s="16"/>
      <c r="F36" s="2"/>
      <c r="G36" s="2"/>
    </row>
    <row r="37" spans="1:7" x14ac:dyDescent="0.35">
      <c r="A37" s="16"/>
      <c r="B37" s="17"/>
      <c r="C37" s="2"/>
      <c r="D37" s="17"/>
      <c r="E37" s="16"/>
      <c r="F37" s="2"/>
      <c r="G37" s="2"/>
    </row>
    <row r="38" spans="1:7" x14ac:dyDescent="0.35">
      <c r="A38" s="16"/>
      <c r="B38" s="17"/>
      <c r="C38" s="2"/>
      <c r="D38" s="17"/>
      <c r="E38" s="16"/>
      <c r="F38" s="2"/>
      <c r="G38" s="2"/>
    </row>
    <row r="39" spans="1:7" x14ac:dyDescent="0.35">
      <c r="A39" s="16"/>
      <c r="B39" s="17"/>
      <c r="C39" s="2"/>
      <c r="D39" s="17"/>
      <c r="E39" s="16"/>
      <c r="F39" s="2"/>
      <c r="G39" s="2"/>
    </row>
    <row r="40" spans="1:7" x14ac:dyDescent="0.35">
      <c r="A40" s="16"/>
      <c r="B40" s="17"/>
      <c r="C40" s="2"/>
      <c r="D40" s="17"/>
      <c r="E40" s="16"/>
      <c r="F40" s="2"/>
      <c r="G40" s="2"/>
    </row>
    <row r="42" spans="1:7" x14ac:dyDescent="0.35">
      <c r="A42" s="12"/>
      <c r="B42" s="18"/>
      <c r="C42" s="3"/>
      <c r="D42" s="19"/>
      <c r="E42" s="20"/>
      <c r="F42" s="3"/>
      <c r="G42" s="3"/>
    </row>
    <row r="43" spans="1:7" x14ac:dyDescent="0.35">
      <c r="A43" s="12"/>
      <c r="B43" s="18"/>
      <c r="C43" s="3"/>
      <c r="D43" s="19"/>
      <c r="E43" s="20"/>
      <c r="F43" s="3"/>
      <c r="G43" s="3"/>
    </row>
    <row r="44" spans="1:7" x14ac:dyDescent="0.35">
      <c r="A44" s="12"/>
      <c r="B44" s="18"/>
      <c r="C44" s="3"/>
      <c r="D44" s="21"/>
      <c r="E44" s="20"/>
      <c r="F44" s="3"/>
      <c r="G44" s="3"/>
    </row>
    <row r="45" spans="1:7" x14ac:dyDescent="0.35">
      <c r="A45" s="12"/>
      <c r="B45" s="18"/>
      <c r="C45" s="3"/>
      <c r="D45" s="21"/>
      <c r="E45" s="20"/>
      <c r="F45" s="3"/>
      <c r="G45" s="3"/>
    </row>
    <row r="46" spans="1:7" x14ac:dyDescent="0.35">
      <c r="A46" s="12"/>
      <c r="B46" s="18"/>
      <c r="C46" s="3"/>
      <c r="D46" s="19"/>
      <c r="E46" s="20"/>
      <c r="F46" s="3"/>
      <c r="G46" s="3"/>
    </row>
    <row r="47" spans="1:7" x14ac:dyDescent="0.35">
      <c r="A47" s="12"/>
      <c r="B47" s="18"/>
      <c r="C47" s="3"/>
      <c r="D47" s="21"/>
      <c r="E47" s="20"/>
      <c r="F47" s="3"/>
      <c r="G47" s="3"/>
    </row>
    <row r="48" spans="1:7" ht="19.5" customHeight="1" x14ac:dyDescent="0.35">
      <c r="A48" s="12"/>
      <c r="B48" s="18"/>
      <c r="C48" s="3"/>
      <c r="D48" s="21"/>
      <c r="E48" s="20"/>
      <c r="F48" s="3"/>
      <c r="G48" s="3"/>
    </row>
    <row r="49" spans="1:7" x14ac:dyDescent="0.35">
      <c r="A49" s="12"/>
      <c r="B49" s="18"/>
      <c r="C49" s="3"/>
      <c r="D49" s="19"/>
      <c r="E49" s="20"/>
      <c r="F49" s="3"/>
      <c r="G49" s="3"/>
    </row>
    <row r="50" spans="1:7" x14ac:dyDescent="0.35">
      <c r="A50" s="12"/>
      <c r="B50" s="18"/>
      <c r="C50" s="3"/>
      <c r="D50" s="21"/>
      <c r="E50" s="20"/>
      <c r="F50" s="3"/>
      <c r="G50" s="3"/>
    </row>
    <row r="51" spans="1:7" x14ac:dyDescent="0.35">
      <c r="A51" s="12"/>
      <c r="B51" s="18"/>
      <c r="C51" s="3"/>
      <c r="D51" s="21"/>
      <c r="E51" s="20"/>
      <c r="F51" s="3"/>
      <c r="G51" s="3"/>
    </row>
    <row r="52" spans="1:7" x14ac:dyDescent="0.35">
      <c r="A52" s="12"/>
      <c r="B52" s="18"/>
      <c r="C52" s="3"/>
      <c r="D52" s="21"/>
      <c r="E52" s="20"/>
      <c r="F52" s="3"/>
      <c r="G52" s="3"/>
    </row>
    <row r="53" spans="1:7" ht="21.75" customHeight="1" x14ac:dyDescent="0.35"/>
  </sheetData>
  <mergeCells count="2">
    <mergeCell ref="A1:G1"/>
    <mergeCell ref="A15:G15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SUDESTE</vt:lpstr>
      <vt:lpstr>SUL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Alexandre Gomes</dc:creator>
  <cp:lastModifiedBy>Mickael | Grupo TM SEG</cp:lastModifiedBy>
  <cp:lastPrinted>2026-05-12T20:35:30Z</cp:lastPrinted>
  <dcterms:created xsi:type="dcterms:W3CDTF">2026-05-07T17:59:39Z</dcterms:created>
  <dcterms:modified xsi:type="dcterms:W3CDTF">2026-05-12T20:35:41Z</dcterms:modified>
</cp:coreProperties>
</file>