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ate1904="1" updateLinks="always"/>
  <mc:AlternateContent xmlns:mc="http://schemas.openxmlformats.org/markup-compatibility/2006">
    <mc:Choice Requires="x15">
      <x15ac:absPath xmlns:x15ac="http://schemas.microsoft.com/office/spreadsheetml/2010/11/ac" url="C:\Users\micka\Desktop\"/>
    </mc:Choice>
  </mc:AlternateContent>
  <xr:revisionPtr revIDLastSave="0" documentId="13_ncr:1_{BE74818A-1D26-4744-8E0D-2A6F26B19D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GENTE " sheetId="116" r:id="rId1"/>
    <sheet name="GRAFICO" sheetId="87" r:id="rId2"/>
    <sheet name="26 a 10" sheetId="57" r:id="rId3"/>
    <sheet name="11 a 25" sheetId="56" r:id="rId4"/>
    <sheet name="FOLHA OP 1" sheetId="100" r:id="rId5"/>
    <sheet name="FOLHA OP 02" sheetId="101" r:id="rId6"/>
    <sheet name="MODELO" sheetId="47" state="hidden" r:id="rId7"/>
    <sheet name="Datas" sheetId="58" state="hidden" r:id="rId8"/>
  </sheets>
  <definedNames>
    <definedName name="_xlnm._FilterDatabase" localSheetId="7" hidden="1">Datas!$A$1:$E$336</definedName>
    <definedName name="_xlnm.Print_Area" localSheetId="2">'26 a 10'!$A$1:$G$22</definedName>
    <definedName name="_xlnm.Print_Area" localSheetId="6">MODELO!$A$1:$Z$59</definedName>
  </definedNames>
  <calcPr calcId="191029"/>
</workbook>
</file>

<file path=xl/calcChain.xml><?xml version="1.0" encoding="utf-8"?>
<calcChain xmlns="http://schemas.openxmlformats.org/spreadsheetml/2006/main">
  <c r="Y41" i="116" l="1"/>
  <c r="AA41" i="116"/>
  <c r="X41" i="116" s="1"/>
  <c r="W41" i="116"/>
  <c r="Z41" i="116"/>
  <c r="E10" i="87"/>
  <c r="F10" i="87"/>
  <c r="F9" i="87"/>
  <c r="E9" i="87"/>
  <c r="B42" i="116"/>
  <c r="L42" i="116"/>
  <c r="M42" i="116"/>
  <c r="E8" i="87"/>
  <c r="F8" i="87"/>
  <c r="E7" i="87"/>
  <c r="F7" i="87"/>
  <c r="D336" i="58"/>
  <c r="C336" i="58"/>
  <c r="D335" i="58"/>
  <c r="C335" i="58"/>
  <c r="D334" i="58"/>
  <c r="C334" i="58"/>
  <c r="D333" i="58"/>
  <c r="C333" i="58"/>
  <c r="D332" i="58"/>
  <c r="C332" i="58"/>
  <c r="D331" i="58"/>
  <c r="C331" i="58"/>
  <c r="D330" i="58"/>
  <c r="C330" i="58"/>
  <c r="D329" i="58"/>
  <c r="C329" i="58"/>
  <c r="D328" i="58"/>
  <c r="C328" i="58"/>
  <c r="D327" i="58"/>
  <c r="C327" i="58"/>
  <c r="D326" i="58"/>
  <c r="C326" i="58"/>
  <c r="D325" i="58"/>
  <c r="C325" i="58"/>
  <c r="D324" i="58"/>
  <c r="C324" i="58"/>
  <c r="D323" i="58"/>
  <c r="C323" i="58"/>
  <c r="D322" i="58"/>
  <c r="C322" i="58"/>
  <c r="D321" i="58"/>
  <c r="C321" i="58"/>
  <c r="D320" i="58"/>
  <c r="C320" i="58"/>
  <c r="D319" i="58"/>
  <c r="C319" i="58"/>
  <c r="D318" i="58"/>
  <c r="C318" i="58"/>
  <c r="D317" i="58"/>
  <c r="C317" i="58"/>
  <c r="D316" i="58"/>
  <c r="C316" i="58"/>
  <c r="D315" i="58"/>
  <c r="C315" i="58"/>
  <c r="D314" i="58"/>
  <c r="C314" i="58"/>
  <c r="D313" i="58"/>
  <c r="C313" i="58"/>
  <c r="D312" i="58"/>
  <c r="C312" i="58"/>
  <c r="D311" i="58"/>
  <c r="C311" i="58"/>
  <c r="D310" i="58"/>
  <c r="C310" i="58"/>
  <c r="D309" i="58"/>
  <c r="C309" i="58"/>
  <c r="D308" i="58"/>
  <c r="C308" i="58"/>
  <c r="D307" i="58"/>
  <c r="C307" i="58"/>
  <c r="D306" i="58"/>
  <c r="C306" i="58"/>
  <c r="D305" i="58"/>
  <c r="C305" i="58"/>
  <c r="D304" i="58"/>
  <c r="C304" i="58"/>
  <c r="D303" i="58"/>
  <c r="C303" i="58"/>
  <c r="D302" i="58"/>
  <c r="C302" i="58"/>
  <c r="D301" i="58"/>
  <c r="C301" i="58"/>
  <c r="D300" i="58"/>
  <c r="C300" i="58"/>
  <c r="D299" i="58"/>
  <c r="C299" i="58"/>
  <c r="D298" i="58"/>
  <c r="C298" i="58"/>
  <c r="D297" i="58"/>
  <c r="C297" i="58"/>
  <c r="D296" i="58"/>
  <c r="C296" i="58"/>
  <c r="D295" i="58"/>
  <c r="C295" i="58"/>
  <c r="D294" i="58"/>
  <c r="C294" i="58"/>
  <c r="D293" i="58"/>
  <c r="C293" i="58"/>
  <c r="D292" i="58"/>
  <c r="C292" i="58"/>
  <c r="D291" i="58"/>
  <c r="C291" i="58"/>
  <c r="D290" i="58"/>
  <c r="C290" i="58"/>
  <c r="D289" i="58"/>
  <c r="C289" i="58"/>
  <c r="D288" i="58"/>
  <c r="C288" i="58"/>
  <c r="D287" i="58"/>
  <c r="C287" i="58"/>
  <c r="D286" i="58"/>
  <c r="C286" i="58"/>
  <c r="D285" i="58"/>
  <c r="C285" i="58"/>
  <c r="D284" i="58"/>
  <c r="C284" i="58"/>
  <c r="D283" i="58"/>
  <c r="C283" i="58"/>
  <c r="D282" i="58"/>
  <c r="C282" i="58"/>
  <c r="D281" i="58"/>
  <c r="C281" i="58"/>
  <c r="D280" i="58"/>
  <c r="C280" i="58"/>
  <c r="D279" i="58"/>
  <c r="C279" i="58"/>
  <c r="D278" i="58"/>
  <c r="C278" i="58"/>
  <c r="D277" i="58"/>
  <c r="C277" i="58"/>
  <c r="D276" i="58"/>
  <c r="C276" i="58"/>
  <c r="D275" i="58"/>
  <c r="C275" i="58"/>
  <c r="D274" i="58"/>
  <c r="C274" i="58"/>
  <c r="D273" i="58"/>
  <c r="C273" i="58"/>
  <c r="D272" i="58"/>
  <c r="C272" i="58"/>
  <c r="D271" i="58"/>
  <c r="C271" i="58"/>
  <c r="D270" i="58"/>
  <c r="C270" i="58"/>
  <c r="D269" i="58"/>
  <c r="C269" i="58"/>
  <c r="D268" i="58"/>
  <c r="C268" i="58"/>
  <c r="D267" i="58"/>
  <c r="C267" i="58"/>
  <c r="D266" i="58"/>
  <c r="C266" i="58"/>
  <c r="D265" i="58"/>
  <c r="C265" i="58"/>
  <c r="D264" i="58"/>
  <c r="C264" i="58"/>
  <c r="D263" i="58"/>
  <c r="C263" i="58"/>
  <c r="D262" i="58"/>
  <c r="C262" i="58"/>
  <c r="D261" i="58"/>
  <c r="C261" i="58"/>
  <c r="D260" i="58"/>
  <c r="C260" i="58"/>
  <c r="D259" i="58"/>
  <c r="C259" i="58"/>
  <c r="D258" i="58"/>
  <c r="C258" i="58"/>
  <c r="D257" i="58"/>
  <c r="C257" i="58"/>
  <c r="D256" i="58"/>
  <c r="C256" i="58"/>
  <c r="D255" i="58"/>
  <c r="C255" i="58"/>
  <c r="D254" i="58"/>
  <c r="C254" i="58"/>
  <c r="D253" i="58"/>
  <c r="C253" i="58"/>
  <c r="D252" i="58"/>
  <c r="C252" i="58"/>
  <c r="D251" i="58"/>
  <c r="C251" i="58"/>
  <c r="D250" i="58"/>
  <c r="C250" i="58"/>
  <c r="D249" i="58"/>
  <c r="C249" i="58"/>
  <c r="D248" i="58"/>
  <c r="C248" i="58"/>
  <c r="D247" i="58"/>
  <c r="C247" i="58"/>
  <c r="D246" i="58"/>
  <c r="C246" i="58"/>
  <c r="D245" i="58"/>
  <c r="C245" i="58"/>
  <c r="D244" i="58"/>
  <c r="C244" i="58"/>
  <c r="D243" i="58"/>
  <c r="C243" i="58"/>
  <c r="D242" i="58"/>
  <c r="C242" i="58"/>
  <c r="D241" i="58"/>
  <c r="C241" i="58"/>
  <c r="D240" i="58"/>
  <c r="C240" i="58"/>
  <c r="D239" i="58"/>
  <c r="C239" i="58"/>
  <c r="D238" i="58"/>
  <c r="C238" i="58"/>
  <c r="D237" i="58"/>
  <c r="C237" i="58"/>
  <c r="D236" i="58"/>
  <c r="C236" i="58"/>
  <c r="D235" i="58"/>
  <c r="C235" i="58"/>
  <c r="D234" i="58"/>
  <c r="C234" i="58"/>
  <c r="D233" i="58"/>
  <c r="C233" i="58"/>
  <c r="D232" i="58"/>
  <c r="C232" i="58"/>
  <c r="D231" i="58"/>
  <c r="C231" i="58"/>
  <c r="D230" i="58"/>
  <c r="C230" i="58"/>
  <c r="D229" i="58"/>
  <c r="C229" i="58"/>
  <c r="D228" i="58"/>
  <c r="C228" i="58"/>
  <c r="D227" i="58"/>
  <c r="C227" i="58"/>
  <c r="D226" i="58"/>
  <c r="C226" i="58"/>
  <c r="D225" i="58"/>
  <c r="C225" i="58"/>
  <c r="D224" i="58"/>
  <c r="C224" i="58"/>
  <c r="D223" i="58"/>
  <c r="C223" i="58"/>
  <c r="D222" i="58"/>
  <c r="C222" i="58"/>
  <c r="D221" i="58"/>
  <c r="C221" i="58"/>
  <c r="D220" i="58"/>
  <c r="C220" i="58"/>
  <c r="D219" i="58"/>
  <c r="C219" i="58"/>
  <c r="D218" i="58"/>
  <c r="C218" i="58"/>
  <c r="D217" i="58"/>
  <c r="C217" i="58"/>
  <c r="D216" i="58"/>
  <c r="C216" i="58"/>
  <c r="D215" i="58"/>
  <c r="C215" i="58"/>
  <c r="D214" i="58"/>
  <c r="C214" i="58"/>
  <c r="D213" i="58"/>
  <c r="C213" i="58"/>
  <c r="D212" i="58"/>
  <c r="C212" i="58"/>
  <c r="D211" i="58"/>
  <c r="C211" i="58"/>
  <c r="D210" i="58"/>
  <c r="C210" i="58"/>
  <c r="D209" i="58"/>
  <c r="C209" i="58"/>
  <c r="D208" i="58"/>
  <c r="C208" i="58"/>
  <c r="D207" i="58"/>
  <c r="C207" i="58"/>
  <c r="D206" i="58"/>
  <c r="C206" i="58"/>
  <c r="D205" i="58"/>
  <c r="C205" i="58"/>
  <c r="D204" i="58"/>
  <c r="C204" i="58"/>
  <c r="D203" i="58"/>
  <c r="C203" i="58"/>
  <c r="D202" i="58"/>
  <c r="C202" i="58"/>
  <c r="D201" i="58"/>
  <c r="C201" i="58"/>
  <c r="D200" i="58"/>
  <c r="C200" i="58"/>
  <c r="D199" i="58"/>
  <c r="C199" i="58"/>
  <c r="D198" i="58"/>
  <c r="C198" i="58"/>
  <c r="D197" i="58"/>
  <c r="C197" i="58"/>
  <c r="D196" i="58"/>
  <c r="C196" i="58"/>
  <c r="D195" i="58"/>
  <c r="C195" i="58"/>
  <c r="D194" i="58"/>
  <c r="C194" i="58"/>
  <c r="D193" i="58"/>
  <c r="C193" i="58"/>
  <c r="D192" i="58"/>
  <c r="C192" i="58"/>
  <c r="D191" i="58"/>
  <c r="C191" i="58"/>
  <c r="D190" i="58"/>
  <c r="C190" i="58"/>
  <c r="D189" i="58"/>
  <c r="C189" i="58"/>
  <c r="D188" i="58"/>
  <c r="C188" i="58"/>
  <c r="D187" i="58"/>
  <c r="C187" i="58"/>
  <c r="D186" i="58"/>
  <c r="C186" i="58"/>
  <c r="D185" i="58"/>
  <c r="C185" i="58"/>
  <c r="D184" i="58"/>
  <c r="C184" i="58"/>
  <c r="D183" i="58"/>
  <c r="C183" i="58"/>
  <c r="D182" i="58"/>
  <c r="C182" i="58"/>
  <c r="D181" i="58"/>
  <c r="C181" i="58"/>
  <c r="D180" i="58"/>
  <c r="C180" i="58"/>
  <c r="D179" i="58"/>
  <c r="C179" i="58"/>
  <c r="D178" i="58"/>
  <c r="C178" i="58"/>
  <c r="D177" i="58"/>
  <c r="C177" i="58"/>
  <c r="D176" i="58"/>
  <c r="C176" i="58"/>
  <c r="D175" i="58"/>
  <c r="C175" i="58"/>
  <c r="D174" i="58"/>
  <c r="C174" i="58"/>
  <c r="D173" i="58"/>
  <c r="C173" i="58"/>
  <c r="D172" i="58"/>
  <c r="C172" i="58"/>
  <c r="D171" i="58"/>
  <c r="C171" i="58"/>
  <c r="D170" i="58"/>
  <c r="C170" i="58"/>
  <c r="D169" i="58"/>
  <c r="C169" i="58"/>
  <c r="D168" i="58"/>
  <c r="C168" i="58"/>
  <c r="D167" i="58"/>
  <c r="C167" i="58"/>
  <c r="D166" i="58"/>
  <c r="C166" i="58"/>
  <c r="D165" i="58"/>
  <c r="C165" i="58"/>
  <c r="D164" i="58"/>
  <c r="C164" i="58"/>
  <c r="D163" i="58"/>
  <c r="C163" i="58"/>
  <c r="D162" i="58"/>
  <c r="C162" i="58"/>
  <c r="D161" i="58"/>
  <c r="C161" i="58"/>
  <c r="D160" i="58"/>
  <c r="C160" i="58"/>
  <c r="D159" i="58"/>
  <c r="C159" i="58"/>
  <c r="D158" i="58"/>
  <c r="C158" i="58"/>
  <c r="D157" i="58"/>
  <c r="C157" i="58"/>
  <c r="D156" i="58"/>
  <c r="C156" i="58"/>
  <c r="D155" i="58"/>
  <c r="C155" i="58"/>
  <c r="D154" i="58"/>
  <c r="C154" i="58"/>
  <c r="D153" i="58"/>
  <c r="C153" i="58"/>
  <c r="D152" i="58"/>
  <c r="C152" i="58"/>
  <c r="D151" i="58"/>
  <c r="C151" i="58"/>
  <c r="D150" i="58"/>
  <c r="C150" i="58"/>
  <c r="D149" i="58"/>
  <c r="C149" i="58"/>
  <c r="D148" i="58"/>
  <c r="C148" i="58"/>
  <c r="D147" i="58"/>
  <c r="C147" i="58"/>
  <c r="D146" i="58"/>
  <c r="C146" i="58"/>
  <c r="D145" i="58"/>
  <c r="C145" i="58"/>
  <c r="D144" i="58"/>
  <c r="C144" i="58"/>
  <c r="D143" i="58"/>
  <c r="C143" i="58"/>
  <c r="D142" i="58"/>
  <c r="C142" i="58"/>
  <c r="D141" i="58"/>
  <c r="C141" i="58"/>
  <c r="D140" i="58"/>
  <c r="C140" i="58"/>
  <c r="D139" i="58"/>
  <c r="C139" i="58"/>
  <c r="D138" i="58"/>
  <c r="C138" i="58"/>
  <c r="D137" i="58"/>
  <c r="C137" i="58"/>
  <c r="D136" i="58"/>
  <c r="C136" i="58"/>
  <c r="D135" i="58"/>
  <c r="C135" i="58"/>
  <c r="D134" i="58"/>
  <c r="C134" i="58"/>
  <c r="D133" i="58"/>
  <c r="C133" i="58"/>
  <c r="D132" i="58"/>
  <c r="C132" i="58"/>
  <c r="D131" i="58"/>
  <c r="C131" i="58"/>
  <c r="D130" i="58"/>
  <c r="C130" i="58"/>
  <c r="D129" i="58"/>
  <c r="C129" i="58"/>
  <c r="D128" i="58"/>
  <c r="C128" i="58"/>
  <c r="D127" i="58"/>
  <c r="C127" i="58"/>
  <c r="D126" i="58"/>
  <c r="C126" i="58"/>
  <c r="D125" i="58"/>
  <c r="C125" i="58"/>
  <c r="D124" i="58"/>
  <c r="C124" i="58"/>
  <c r="D123" i="58"/>
  <c r="C123" i="58"/>
  <c r="D122" i="58"/>
  <c r="C122" i="58"/>
  <c r="D121" i="58"/>
  <c r="C121" i="58"/>
  <c r="D120" i="58"/>
  <c r="C120" i="58"/>
  <c r="D119" i="58"/>
  <c r="C119" i="58"/>
  <c r="D118" i="58"/>
  <c r="C118" i="58"/>
  <c r="D117" i="58"/>
  <c r="C117" i="58"/>
  <c r="D116" i="58"/>
  <c r="C116" i="58"/>
  <c r="D115" i="58"/>
  <c r="C115" i="58"/>
  <c r="D114" i="58"/>
  <c r="C114" i="58"/>
  <c r="D113" i="58"/>
  <c r="C113" i="58"/>
  <c r="D112" i="58"/>
  <c r="C112" i="58"/>
  <c r="D111" i="58"/>
  <c r="C111" i="58"/>
  <c r="D110" i="58"/>
  <c r="C110" i="58"/>
  <c r="D109" i="58"/>
  <c r="C109" i="58"/>
  <c r="D108" i="58"/>
  <c r="C108" i="58"/>
  <c r="D107" i="58"/>
  <c r="C107" i="58"/>
  <c r="D106" i="58"/>
  <c r="C106" i="58"/>
  <c r="D105" i="58"/>
  <c r="C105" i="58"/>
  <c r="D104" i="58"/>
  <c r="C104" i="58"/>
  <c r="D103" i="58"/>
  <c r="C103" i="58"/>
  <c r="D102" i="58"/>
  <c r="C102" i="58"/>
  <c r="D101" i="58"/>
  <c r="C101" i="58"/>
  <c r="D100" i="58"/>
  <c r="C100" i="58"/>
  <c r="D99" i="58"/>
  <c r="C99" i="58"/>
  <c r="D98" i="58"/>
  <c r="C98" i="58"/>
  <c r="D97" i="58"/>
  <c r="C97" i="58"/>
  <c r="D96" i="58"/>
  <c r="C96" i="58"/>
  <c r="D95" i="58"/>
  <c r="C95" i="58"/>
  <c r="D94" i="58"/>
  <c r="C94" i="58"/>
  <c r="D93" i="58"/>
  <c r="C93" i="58"/>
  <c r="D92" i="58"/>
  <c r="C92" i="58"/>
  <c r="D91" i="58"/>
  <c r="C91" i="58"/>
  <c r="D90" i="58"/>
  <c r="C90" i="58"/>
  <c r="D89" i="58"/>
  <c r="C89" i="58"/>
  <c r="D88" i="58"/>
  <c r="C88" i="58"/>
  <c r="D87" i="58"/>
  <c r="C87" i="58"/>
  <c r="D86" i="58"/>
  <c r="C86" i="58"/>
  <c r="D85" i="58"/>
  <c r="C85" i="58"/>
  <c r="D84" i="58"/>
  <c r="C84" i="58"/>
  <c r="D83" i="58"/>
  <c r="C83" i="58"/>
  <c r="D82" i="58"/>
  <c r="C82" i="58"/>
  <c r="D81" i="58"/>
  <c r="C81" i="58"/>
  <c r="D80" i="58"/>
  <c r="C80" i="58"/>
  <c r="D79" i="58"/>
  <c r="C79" i="58"/>
  <c r="D78" i="58"/>
  <c r="C78" i="58"/>
  <c r="D77" i="58"/>
  <c r="C77" i="58"/>
  <c r="D76" i="58"/>
  <c r="C76" i="58"/>
  <c r="D75" i="58"/>
  <c r="C75" i="58"/>
  <c r="D74" i="58"/>
  <c r="C74" i="58"/>
  <c r="D73" i="58"/>
  <c r="C73" i="58"/>
  <c r="D72" i="58"/>
  <c r="C72" i="58"/>
  <c r="D71" i="58"/>
  <c r="C71" i="58"/>
  <c r="D70" i="58"/>
  <c r="C70" i="58"/>
  <c r="D69" i="58"/>
  <c r="C69" i="58"/>
  <c r="D68" i="58"/>
  <c r="C68" i="58"/>
  <c r="D67" i="58"/>
  <c r="C67" i="58"/>
  <c r="D66" i="58"/>
  <c r="C66" i="58"/>
  <c r="D65" i="58"/>
  <c r="C65" i="58"/>
  <c r="D64" i="58"/>
  <c r="C64" i="58"/>
  <c r="D63" i="58"/>
  <c r="C63" i="58"/>
  <c r="D62" i="58"/>
  <c r="C62" i="58"/>
  <c r="D61" i="58"/>
  <c r="C61" i="58"/>
  <c r="D60" i="58"/>
  <c r="C60" i="58"/>
  <c r="D59" i="58"/>
  <c r="C59" i="58"/>
  <c r="D58" i="58"/>
  <c r="C58" i="58"/>
  <c r="D57" i="58"/>
  <c r="C57" i="58"/>
  <c r="D56" i="58"/>
  <c r="C56" i="58"/>
  <c r="D55" i="58"/>
  <c r="C55" i="58"/>
  <c r="D54" i="58"/>
  <c r="C54" i="58"/>
  <c r="D53" i="58"/>
  <c r="C53" i="58"/>
  <c r="D52" i="58"/>
  <c r="C52" i="58"/>
  <c r="D51" i="58"/>
  <c r="C51" i="58"/>
  <c r="D50" i="58"/>
  <c r="C50" i="58"/>
  <c r="D49" i="58"/>
  <c r="C49" i="58"/>
  <c r="D48" i="58"/>
  <c r="C48" i="58"/>
  <c r="D47" i="58"/>
  <c r="C47" i="58"/>
  <c r="D46" i="58"/>
  <c r="C46" i="58"/>
  <c r="D45" i="58"/>
  <c r="C45" i="58"/>
  <c r="D44" i="58"/>
  <c r="C44" i="58"/>
  <c r="D43" i="58"/>
  <c r="C43" i="58"/>
  <c r="D42" i="58"/>
  <c r="C42" i="58"/>
  <c r="D41" i="58"/>
  <c r="C41" i="58"/>
  <c r="D40" i="58"/>
  <c r="C40" i="58"/>
  <c r="D39" i="58"/>
  <c r="C39" i="58"/>
  <c r="D38" i="58"/>
  <c r="C38" i="58"/>
  <c r="D37" i="58"/>
  <c r="C37" i="58"/>
  <c r="D36" i="58"/>
  <c r="C36" i="58"/>
  <c r="D35" i="58"/>
  <c r="C35" i="58"/>
  <c r="D34" i="58"/>
  <c r="C34" i="58"/>
  <c r="D33" i="58"/>
  <c r="C33" i="58"/>
  <c r="D32" i="58"/>
  <c r="C32" i="58"/>
  <c r="D31" i="58"/>
  <c r="C31" i="58"/>
  <c r="D30" i="58"/>
  <c r="C30" i="58"/>
  <c r="D29" i="58"/>
  <c r="C29" i="58"/>
  <c r="D28" i="58"/>
  <c r="C28" i="58"/>
  <c r="D27" i="58"/>
  <c r="C27" i="58"/>
  <c r="D26" i="58"/>
  <c r="C26" i="58"/>
  <c r="D25" i="58"/>
  <c r="C25" i="58"/>
  <c r="D24" i="58"/>
  <c r="C24" i="58"/>
  <c r="D23" i="58"/>
  <c r="C23" i="58"/>
  <c r="D22" i="58"/>
  <c r="C22" i="58"/>
  <c r="D21" i="58"/>
  <c r="C21" i="58"/>
  <c r="D20" i="58"/>
  <c r="C20" i="58"/>
  <c r="D19" i="58"/>
  <c r="C19" i="58"/>
  <c r="D18" i="58"/>
  <c r="C18" i="58"/>
  <c r="D17" i="58"/>
  <c r="C17" i="58"/>
  <c r="D16" i="58"/>
  <c r="C16" i="58"/>
  <c r="D15" i="58"/>
  <c r="C15" i="58"/>
  <c r="D14" i="58"/>
  <c r="C14" i="58"/>
  <c r="D13" i="58"/>
  <c r="C13" i="58"/>
  <c r="D12" i="58"/>
  <c r="C12" i="58"/>
  <c r="D11" i="58"/>
  <c r="C11" i="58"/>
  <c r="D10" i="58"/>
  <c r="C10" i="58"/>
  <c r="D9" i="58"/>
  <c r="C9" i="58"/>
  <c r="D8" i="58"/>
  <c r="C8" i="58"/>
  <c r="D7" i="58"/>
  <c r="C7" i="58"/>
  <c r="D6" i="58"/>
  <c r="C6" i="58"/>
  <c r="D5" i="58"/>
  <c r="C5" i="58"/>
  <c r="D4" i="58"/>
  <c r="C4" i="58"/>
  <c r="D3" i="58"/>
  <c r="C3" i="58"/>
  <c r="D2" i="58"/>
  <c r="C2" i="58"/>
  <c r="K54" i="47"/>
  <c r="I54" i="47"/>
  <c r="H54" i="47"/>
  <c r="K53" i="47"/>
  <c r="H53" i="47"/>
  <c r="K52" i="47"/>
  <c r="I52" i="47"/>
  <c r="H52" i="47"/>
  <c r="K51" i="47"/>
  <c r="I51" i="47"/>
  <c r="H51" i="47"/>
  <c r="K48" i="47"/>
  <c r="H48" i="47"/>
  <c r="D48" i="47"/>
  <c r="D45" i="47"/>
  <c r="L43" i="47"/>
  <c r="K43" i="47"/>
  <c r="J43" i="47"/>
  <c r="I43" i="47"/>
  <c r="W42" i="47"/>
  <c r="V42" i="47"/>
  <c r="U42" i="47"/>
  <c r="T42" i="47"/>
  <c r="S42" i="47"/>
  <c r="R42" i="47"/>
  <c r="Q42" i="47"/>
  <c r="L42" i="47"/>
  <c r="K42" i="47"/>
  <c r="J42" i="47"/>
  <c r="I42" i="47"/>
  <c r="C42" i="47" a="1"/>
  <c r="C42" i="47"/>
  <c r="B42" i="47"/>
  <c r="A42" i="47"/>
  <c r="W41" i="47"/>
  <c r="V41" i="47"/>
  <c r="U41" i="47"/>
  <c r="T41" i="47"/>
  <c r="S41" i="47"/>
  <c r="R41" i="47"/>
  <c r="Q41" i="47"/>
  <c r="L41" i="47"/>
  <c r="K41" i="47"/>
  <c r="J41" i="47"/>
  <c r="I41" i="47"/>
  <c r="C41" i="47" a="1"/>
  <c r="C41" i="47"/>
  <c r="B41" i="47"/>
  <c r="A41" i="47"/>
  <c r="W40" i="47"/>
  <c r="V40" i="47"/>
  <c r="U40" i="47"/>
  <c r="T40" i="47"/>
  <c r="S40" i="47"/>
  <c r="R40" i="47"/>
  <c r="Q40" i="47"/>
  <c r="L40" i="47"/>
  <c r="K40" i="47"/>
  <c r="J40" i="47"/>
  <c r="I40" i="47"/>
  <c r="C40" i="47" a="1"/>
  <c r="C40" i="47"/>
  <c r="B40" i="47"/>
  <c r="A40" i="47"/>
  <c r="W39" i="47"/>
  <c r="V39" i="47"/>
  <c r="U39" i="47"/>
  <c r="T39" i="47"/>
  <c r="S39" i="47"/>
  <c r="R39" i="47"/>
  <c r="Q39" i="47"/>
  <c r="L39" i="47"/>
  <c r="K39" i="47"/>
  <c r="J39" i="47"/>
  <c r="I39" i="47"/>
  <c r="C39" i="47" a="1"/>
  <c r="C39" i="47"/>
  <c r="B39" i="47"/>
  <c r="A39" i="47"/>
  <c r="W38" i="47"/>
  <c r="V38" i="47"/>
  <c r="U38" i="47"/>
  <c r="T38" i="47"/>
  <c r="S38" i="47"/>
  <c r="R38" i="47"/>
  <c r="Q38" i="47"/>
  <c r="L38" i="47"/>
  <c r="K38" i="47"/>
  <c r="J38" i="47"/>
  <c r="I38" i="47"/>
  <c r="C38" i="47" a="1"/>
  <c r="C38" i="47"/>
  <c r="B38" i="47"/>
  <c r="A38" i="47"/>
  <c r="W37" i="47"/>
  <c r="V37" i="47"/>
  <c r="U37" i="47"/>
  <c r="T37" i="47"/>
  <c r="S37" i="47"/>
  <c r="R37" i="47"/>
  <c r="Q37" i="47"/>
  <c r="L37" i="47"/>
  <c r="K37" i="47"/>
  <c r="J37" i="47"/>
  <c r="I37" i="47"/>
  <c r="C37" i="47" a="1"/>
  <c r="C37" i="47"/>
  <c r="B37" i="47"/>
  <c r="A37" i="47"/>
  <c r="W36" i="47"/>
  <c r="V36" i="47"/>
  <c r="U36" i="47"/>
  <c r="T36" i="47"/>
  <c r="S36" i="47"/>
  <c r="R36" i="47"/>
  <c r="Q36" i="47"/>
  <c r="L36" i="47"/>
  <c r="K36" i="47"/>
  <c r="J36" i="47"/>
  <c r="I36" i="47"/>
  <c r="C36" i="47" a="1"/>
  <c r="C36" i="47"/>
  <c r="B36" i="47"/>
  <c r="A36" i="47"/>
  <c r="W35" i="47"/>
  <c r="V35" i="47"/>
  <c r="U35" i="47"/>
  <c r="T35" i="47"/>
  <c r="S35" i="47"/>
  <c r="R35" i="47"/>
  <c r="Q35" i="47"/>
  <c r="L35" i="47"/>
  <c r="K35" i="47"/>
  <c r="J35" i="47"/>
  <c r="I35" i="47"/>
  <c r="C35" i="47" a="1"/>
  <c r="C35" i="47"/>
  <c r="B35" i="47"/>
  <c r="A35" i="47"/>
  <c r="W34" i="47"/>
  <c r="V34" i="47"/>
  <c r="U34" i="47"/>
  <c r="T34" i="47"/>
  <c r="S34" i="47"/>
  <c r="R34" i="47"/>
  <c r="Q34" i="47"/>
  <c r="L34" i="47"/>
  <c r="K34" i="47"/>
  <c r="J34" i="47"/>
  <c r="I34" i="47"/>
  <c r="C34" i="47" a="1"/>
  <c r="C34" i="47"/>
  <c r="B34" i="47"/>
  <c r="A34" i="47"/>
  <c r="W33" i="47"/>
  <c r="V33" i="47"/>
  <c r="U33" i="47"/>
  <c r="T33" i="47"/>
  <c r="S33" i="47"/>
  <c r="R33" i="47"/>
  <c r="Q33" i="47"/>
  <c r="L33" i="47"/>
  <c r="K33" i="47"/>
  <c r="J33" i="47"/>
  <c r="I33" i="47"/>
  <c r="C33" i="47" a="1"/>
  <c r="C33" i="47"/>
  <c r="B33" i="47"/>
  <c r="A33" i="47"/>
  <c r="W32" i="47"/>
  <c r="V32" i="47"/>
  <c r="U32" i="47"/>
  <c r="T32" i="47"/>
  <c r="S32" i="47"/>
  <c r="R32" i="47"/>
  <c r="Q32" i="47"/>
  <c r="L32" i="47"/>
  <c r="K32" i="47"/>
  <c r="J32" i="47"/>
  <c r="I32" i="47"/>
  <c r="C32" i="47" a="1"/>
  <c r="C32" i="47"/>
  <c r="B32" i="47"/>
  <c r="A32" i="47"/>
  <c r="W31" i="47"/>
  <c r="V31" i="47"/>
  <c r="U31" i="47"/>
  <c r="T31" i="47"/>
  <c r="S31" i="47"/>
  <c r="R31" i="47"/>
  <c r="Q31" i="47"/>
  <c r="L31" i="47"/>
  <c r="K31" i="47"/>
  <c r="J31" i="47"/>
  <c r="I31" i="47"/>
  <c r="C31" i="47" a="1"/>
  <c r="C31" i="47"/>
  <c r="B31" i="47"/>
  <c r="A31" i="47"/>
  <c r="W30" i="47"/>
  <c r="V30" i="47"/>
  <c r="U30" i="47"/>
  <c r="T30" i="47"/>
  <c r="S30" i="47"/>
  <c r="R30" i="47"/>
  <c r="Q30" i="47"/>
  <c r="L30" i="47"/>
  <c r="K30" i="47"/>
  <c r="J30" i="47"/>
  <c r="I30" i="47"/>
  <c r="C30" i="47" a="1"/>
  <c r="C30" i="47"/>
  <c r="B30" i="47"/>
  <c r="A30" i="47"/>
  <c r="W29" i="47"/>
  <c r="V29" i="47"/>
  <c r="U29" i="47"/>
  <c r="T29" i="47"/>
  <c r="S29" i="47"/>
  <c r="R29" i="47"/>
  <c r="Q29" i="47"/>
  <c r="L29" i="47"/>
  <c r="K29" i="47"/>
  <c r="J29" i="47"/>
  <c r="I29" i="47"/>
  <c r="C29" i="47" a="1"/>
  <c r="C29" i="47"/>
  <c r="B29" i="47"/>
  <c r="A29" i="47"/>
  <c r="W28" i="47"/>
  <c r="V28" i="47"/>
  <c r="U28" i="47"/>
  <c r="T28" i="47"/>
  <c r="S28" i="47"/>
  <c r="R28" i="47"/>
  <c r="Q28" i="47"/>
  <c r="L28" i="47"/>
  <c r="K28" i="47"/>
  <c r="J28" i="47"/>
  <c r="I28" i="47"/>
  <c r="C28" i="47" a="1"/>
  <c r="C28" i="47"/>
  <c r="B28" i="47"/>
  <c r="A28" i="47"/>
  <c r="W27" i="47"/>
  <c r="V27" i="47"/>
  <c r="U27" i="47"/>
  <c r="T27" i="47"/>
  <c r="S27" i="47"/>
  <c r="R27" i="47"/>
  <c r="Q27" i="47"/>
  <c r="L27" i="47"/>
  <c r="K27" i="47"/>
  <c r="J27" i="47"/>
  <c r="I27" i="47"/>
  <c r="C27" i="47" a="1"/>
  <c r="C27" i="47"/>
  <c r="B27" i="47"/>
  <c r="A27" i="47"/>
  <c r="W26" i="47"/>
  <c r="V26" i="47"/>
  <c r="U26" i="47"/>
  <c r="T26" i="47"/>
  <c r="S26" i="47"/>
  <c r="R26" i="47"/>
  <c r="Q26" i="47"/>
  <c r="L26" i="47"/>
  <c r="K26" i="47"/>
  <c r="J26" i="47"/>
  <c r="I26" i="47"/>
  <c r="C26" i="47" a="1"/>
  <c r="C26" i="47"/>
  <c r="B26" i="47"/>
  <c r="A26" i="47"/>
  <c r="W25" i="47"/>
  <c r="V25" i="47"/>
  <c r="U25" i="47"/>
  <c r="T25" i="47"/>
  <c r="S25" i="47"/>
  <c r="R25" i="47"/>
  <c r="Q25" i="47"/>
  <c r="L25" i="47"/>
  <c r="K25" i="47"/>
  <c r="J25" i="47"/>
  <c r="I25" i="47"/>
  <c r="C25" i="47" a="1"/>
  <c r="C25" i="47"/>
  <c r="B25" i="47"/>
  <c r="A25" i="47"/>
  <c r="W24" i="47"/>
  <c r="V24" i="47"/>
  <c r="U24" i="47"/>
  <c r="T24" i="47"/>
  <c r="S24" i="47"/>
  <c r="R24" i="47"/>
  <c r="Q24" i="47"/>
  <c r="L24" i="47"/>
  <c r="K24" i="47"/>
  <c r="J24" i="47"/>
  <c r="I24" i="47"/>
  <c r="C24" i="47" a="1"/>
  <c r="C24" i="47"/>
  <c r="B24" i="47"/>
  <c r="A24" i="47"/>
  <c r="W23" i="47"/>
  <c r="V23" i="47"/>
  <c r="U23" i="47"/>
  <c r="T23" i="47"/>
  <c r="S23" i="47"/>
  <c r="R23" i="47"/>
  <c r="Q23" i="47"/>
  <c r="L23" i="47"/>
  <c r="K23" i="47"/>
  <c r="J23" i="47"/>
  <c r="I23" i="47"/>
  <c r="C23" i="47" a="1"/>
  <c r="C23" i="47"/>
  <c r="B23" i="47"/>
  <c r="A23" i="47"/>
  <c r="W22" i="47"/>
  <c r="V22" i="47"/>
  <c r="U22" i="47"/>
  <c r="T22" i="47"/>
  <c r="S22" i="47"/>
  <c r="R22" i="47"/>
  <c r="Q22" i="47"/>
  <c r="L22" i="47"/>
  <c r="K22" i="47"/>
  <c r="J22" i="47"/>
  <c r="I22" i="47"/>
  <c r="C22" i="47" a="1"/>
  <c r="C22" i="47"/>
  <c r="B22" i="47"/>
  <c r="A22" i="47"/>
  <c r="W21" i="47"/>
  <c r="V21" i="47"/>
  <c r="U21" i="47"/>
  <c r="T21" i="47"/>
  <c r="S21" i="47"/>
  <c r="R21" i="47"/>
  <c r="Q21" i="47"/>
  <c r="L21" i="47"/>
  <c r="K21" i="47"/>
  <c r="J21" i="47"/>
  <c r="I21" i="47"/>
  <c r="C21" i="47" a="1"/>
  <c r="C21" i="47"/>
  <c r="B21" i="47"/>
  <c r="A21" i="47"/>
  <c r="W20" i="47"/>
  <c r="V20" i="47"/>
  <c r="U20" i="47"/>
  <c r="T20" i="47"/>
  <c r="S20" i="47"/>
  <c r="R20" i="47"/>
  <c r="Q20" i="47"/>
  <c r="L20" i="47"/>
  <c r="K20" i="47"/>
  <c r="J20" i="47"/>
  <c r="I20" i="47"/>
  <c r="C20" i="47" a="1"/>
  <c r="C20" i="47"/>
  <c r="B20" i="47"/>
  <c r="A20" i="47"/>
  <c r="W19" i="47"/>
  <c r="V19" i="47"/>
  <c r="U19" i="47"/>
  <c r="T19" i="47"/>
  <c r="S19" i="47"/>
  <c r="R19" i="47"/>
  <c r="Q19" i="47"/>
  <c r="L19" i="47"/>
  <c r="K19" i="47"/>
  <c r="J19" i="47"/>
  <c r="I19" i="47"/>
  <c r="C19" i="47" a="1"/>
  <c r="C19" i="47"/>
  <c r="B19" i="47"/>
  <c r="A19" i="47"/>
  <c r="W18" i="47"/>
  <c r="V18" i="47"/>
  <c r="U18" i="47"/>
  <c r="T18" i="47"/>
  <c r="S18" i="47"/>
  <c r="R18" i="47"/>
  <c r="Q18" i="47"/>
  <c r="L18" i="47"/>
  <c r="K18" i="47"/>
  <c r="J18" i="47"/>
  <c r="I18" i="47"/>
  <c r="C18" i="47" a="1"/>
  <c r="C18" i="47"/>
  <c r="B18" i="47"/>
  <c r="A18" i="47"/>
  <c r="W17" i="47"/>
  <c r="V17" i="47"/>
  <c r="U17" i="47"/>
  <c r="T17" i="47"/>
  <c r="S17" i="47"/>
  <c r="R17" i="47"/>
  <c r="Q17" i="47"/>
  <c r="L17" i="47"/>
  <c r="K17" i="47"/>
  <c r="J17" i="47"/>
  <c r="I17" i="47"/>
  <c r="C17" i="47" a="1"/>
  <c r="C17" i="47"/>
  <c r="B17" i="47"/>
  <c r="A17" i="47"/>
  <c r="W16" i="47"/>
  <c r="V16" i="47"/>
  <c r="U16" i="47"/>
  <c r="T16" i="47"/>
  <c r="S16" i="47"/>
  <c r="R16" i="47"/>
  <c r="Q16" i="47"/>
  <c r="L16" i="47"/>
  <c r="K16" i="47"/>
  <c r="J16" i="47"/>
  <c r="I16" i="47"/>
  <c r="C16" i="47" a="1"/>
  <c r="C16" i="47"/>
  <c r="B16" i="47"/>
  <c r="A16" i="47"/>
  <c r="W15" i="47"/>
  <c r="V15" i="47"/>
  <c r="U15" i="47"/>
  <c r="T15" i="47"/>
  <c r="S15" i="47"/>
  <c r="R15" i="47"/>
  <c r="Q15" i="47"/>
  <c r="L15" i="47"/>
  <c r="K15" i="47"/>
  <c r="J15" i="47"/>
  <c r="I15" i="47"/>
  <c r="C15" i="47" a="1"/>
  <c r="C15" i="47"/>
  <c r="B15" i="47"/>
  <c r="A15" i="47"/>
  <c r="W14" i="47"/>
  <c r="V14" i="47"/>
  <c r="U14" i="47"/>
  <c r="T14" i="47"/>
  <c r="S14" i="47"/>
  <c r="R14" i="47"/>
  <c r="Q14" i="47"/>
  <c r="L14" i="47"/>
  <c r="K14" i="47"/>
  <c r="J14" i="47"/>
  <c r="I14" i="47"/>
  <c r="C14" i="47" a="1"/>
  <c r="C14" i="47"/>
  <c r="B14" i="47"/>
  <c r="A14" i="47"/>
  <c r="W13" i="47"/>
  <c r="V13" i="47"/>
  <c r="U13" i="47"/>
  <c r="T13" i="47"/>
  <c r="S13" i="47"/>
  <c r="R13" i="47"/>
  <c r="Q13" i="47"/>
  <c r="L13" i="47"/>
  <c r="K13" i="47"/>
  <c r="J13" i="47"/>
  <c r="I13" i="47"/>
  <c r="C13" i="47" a="1"/>
  <c r="C13" i="47"/>
  <c r="B13" i="47"/>
  <c r="A13" i="47"/>
  <c r="W12" i="47"/>
  <c r="V12" i="47"/>
  <c r="U12" i="47"/>
  <c r="T12" i="47"/>
  <c r="S12" i="47"/>
  <c r="R12" i="47"/>
  <c r="Q12" i="47"/>
  <c r="L12" i="47"/>
  <c r="K12" i="47"/>
  <c r="J12" i="47"/>
  <c r="I12" i="47"/>
  <c r="C12" i="47" a="1"/>
  <c r="C12" i="47"/>
  <c r="B12" i="47"/>
  <c r="Y7" i="47"/>
  <c r="L53" i="101"/>
  <c r="H53" i="101"/>
  <c r="L52" i="101"/>
  <c r="H52" i="101"/>
  <c r="L51" i="101"/>
  <c r="H51" i="101"/>
  <c r="L50" i="101"/>
  <c r="H50" i="101"/>
  <c r="L47" i="101"/>
  <c r="H47" i="101"/>
  <c r="M42" i="101"/>
  <c r="L42" i="101"/>
  <c r="K42" i="101"/>
  <c r="J42" i="101"/>
  <c r="X41" i="101"/>
  <c r="W41" i="101"/>
  <c r="V41" i="101"/>
  <c r="U41" i="101"/>
  <c r="T41" i="101"/>
  <c r="S41" i="101"/>
  <c r="R41" i="101"/>
  <c r="J41" i="101"/>
  <c r="C41" i="101" a="1"/>
  <c r="C41" i="101"/>
  <c r="B41" i="101"/>
  <c r="A41" i="101"/>
  <c r="X40" i="101"/>
  <c r="W40" i="101"/>
  <c r="V40" i="101"/>
  <c r="U40" i="101"/>
  <c r="T40" i="101"/>
  <c r="S40" i="101"/>
  <c r="R40" i="101"/>
  <c r="M40" i="101"/>
  <c r="L40" i="101"/>
  <c r="J40" i="101"/>
  <c r="C40" i="101" a="1"/>
  <c r="C40" i="101"/>
  <c r="B40" i="101"/>
  <c r="A40" i="101"/>
  <c r="X39" i="101"/>
  <c r="W39" i="101"/>
  <c r="V39" i="101"/>
  <c r="U39" i="101"/>
  <c r="T39" i="101"/>
  <c r="S39" i="101"/>
  <c r="R39" i="101"/>
  <c r="J39" i="101"/>
  <c r="C39" i="101" a="1"/>
  <c r="C39" i="101"/>
  <c r="B39" i="101"/>
  <c r="A39" i="101"/>
  <c r="X38" i="101"/>
  <c r="W38" i="101"/>
  <c r="V38" i="101"/>
  <c r="U38" i="101"/>
  <c r="T38" i="101"/>
  <c r="S38" i="101"/>
  <c r="R38" i="101"/>
  <c r="J38" i="101"/>
  <c r="C38" i="101" a="1"/>
  <c r="C38" i="101"/>
  <c r="B38" i="101"/>
  <c r="A38" i="101"/>
  <c r="X37" i="101"/>
  <c r="W37" i="101"/>
  <c r="V37" i="101"/>
  <c r="U37" i="101"/>
  <c r="T37" i="101"/>
  <c r="S37" i="101"/>
  <c r="R37" i="101"/>
  <c r="J37" i="101"/>
  <c r="C37" i="101" a="1"/>
  <c r="C37" i="101"/>
  <c r="B37" i="101"/>
  <c r="A37" i="101"/>
  <c r="X36" i="101"/>
  <c r="W36" i="101"/>
  <c r="V36" i="101"/>
  <c r="U36" i="101"/>
  <c r="T36" i="101"/>
  <c r="S36" i="101"/>
  <c r="R36" i="101"/>
  <c r="J36" i="101"/>
  <c r="C36" i="101" a="1"/>
  <c r="C36" i="101"/>
  <c r="B36" i="101"/>
  <c r="A36" i="101"/>
  <c r="X35" i="101"/>
  <c r="W35" i="101"/>
  <c r="V35" i="101"/>
  <c r="U35" i="101"/>
  <c r="T35" i="101"/>
  <c r="S35" i="101"/>
  <c r="R35" i="101"/>
  <c r="J35" i="101"/>
  <c r="C35" i="101" a="1"/>
  <c r="C35" i="101"/>
  <c r="B35" i="101"/>
  <c r="A35" i="101"/>
  <c r="X34" i="101"/>
  <c r="W34" i="101"/>
  <c r="V34" i="101"/>
  <c r="U34" i="101"/>
  <c r="T34" i="101"/>
  <c r="S34" i="101"/>
  <c r="R34" i="101"/>
  <c r="J34" i="101"/>
  <c r="C34" i="101" a="1"/>
  <c r="C34" i="101"/>
  <c r="B34" i="101"/>
  <c r="A34" i="101"/>
  <c r="X33" i="101"/>
  <c r="W33" i="101"/>
  <c r="V33" i="101"/>
  <c r="U33" i="101"/>
  <c r="T33" i="101"/>
  <c r="S33" i="101"/>
  <c r="R33" i="101"/>
  <c r="M33" i="101"/>
  <c r="L33" i="101"/>
  <c r="J33" i="101"/>
  <c r="C33" i="101" a="1"/>
  <c r="C33" i="101"/>
  <c r="B33" i="101"/>
  <c r="A33" i="101"/>
  <c r="X32" i="101"/>
  <c r="W32" i="101"/>
  <c r="V32" i="101"/>
  <c r="U32" i="101"/>
  <c r="T32" i="101"/>
  <c r="S32" i="101"/>
  <c r="R32" i="101"/>
  <c r="J32" i="101"/>
  <c r="C32" i="101" a="1"/>
  <c r="C32" i="101"/>
  <c r="B32" i="101"/>
  <c r="A32" i="101"/>
  <c r="X31" i="101"/>
  <c r="W31" i="101"/>
  <c r="V31" i="101"/>
  <c r="U31" i="101"/>
  <c r="T31" i="101"/>
  <c r="S31" i="101"/>
  <c r="R31" i="101"/>
  <c r="J31" i="101"/>
  <c r="C31" i="101" a="1"/>
  <c r="C31" i="101"/>
  <c r="B31" i="101"/>
  <c r="A31" i="101"/>
  <c r="X30" i="101"/>
  <c r="W30" i="101"/>
  <c r="V30" i="101"/>
  <c r="U30" i="101"/>
  <c r="T30" i="101"/>
  <c r="S30" i="101"/>
  <c r="R30" i="101"/>
  <c r="J30" i="101"/>
  <c r="C30" i="101" a="1"/>
  <c r="C30" i="101"/>
  <c r="B30" i="101"/>
  <c r="A30" i="101"/>
  <c r="X29" i="101"/>
  <c r="W29" i="101"/>
  <c r="V29" i="101"/>
  <c r="U29" i="101"/>
  <c r="T29" i="101"/>
  <c r="S29" i="101"/>
  <c r="R29" i="101"/>
  <c r="J29" i="101"/>
  <c r="C29" i="101" a="1"/>
  <c r="C29" i="101"/>
  <c r="B29" i="101"/>
  <c r="A29" i="101"/>
  <c r="X28" i="101"/>
  <c r="W28" i="101"/>
  <c r="V28" i="101"/>
  <c r="U28" i="101"/>
  <c r="T28" i="101"/>
  <c r="S28" i="101"/>
  <c r="R28" i="101"/>
  <c r="J28" i="101"/>
  <c r="C28" i="101" a="1"/>
  <c r="C28" i="101"/>
  <c r="B28" i="101"/>
  <c r="A28" i="101"/>
  <c r="X27" i="101"/>
  <c r="W27" i="101"/>
  <c r="V27" i="101"/>
  <c r="U27" i="101"/>
  <c r="T27" i="101"/>
  <c r="S27" i="101"/>
  <c r="R27" i="101"/>
  <c r="J27" i="101"/>
  <c r="C27" i="101" a="1"/>
  <c r="C27" i="101"/>
  <c r="B27" i="101"/>
  <c r="A27" i="101"/>
  <c r="X26" i="101"/>
  <c r="W26" i="101"/>
  <c r="V26" i="101"/>
  <c r="U26" i="101"/>
  <c r="T26" i="101"/>
  <c r="S26" i="101"/>
  <c r="R26" i="101"/>
  <c r="M26" i="101"/>
  <c r="L26" i="101"/>
  <c r="J26" i="101"/>
  <c r="C26" i="101" a="1"/>
  <c r="C26" i="101"/>
  <c r="B26" i="101"/>
  <c r="A26" i="101"/>
  <c r="X25" i="101"/>
  <c r="W25" i="101"/>
  <c r="V25" i="101"/>
  <c r="U25" i="101"/>
  <c r="T25" i="101"/>
  <c r="S25" i="101"/>
  <c r="R25" i="101"/>
  <c r="J25" i="101"/>
  <c r="C25" i="101" a="1"/>
  <c r="C25" i="101"/>
  <c r="B25" i="101"/>
  <c r="A25" i="101"/>
  <c r="X24" i="101"/>
  <c r="W24" i="101"/>
  <c r="V24" i="101"/>
  <c r="U24" i="101"/>
  <c r="T24" i="101"/>
  <c r="S24" i="101"/>
  <c r="R24" i="101"/>
  <c r="J24" i="101"/>
  <c r="C24" i="101" a="1"/>
  <c r="C24" i="101"/>
  <c r="B24" i="101"/>
  <c r="A24" i="101"/>
  <c r="X23" i="101"/>
  <c r="W23" i="101"/>
  <c r="V23" i="101"/>
  <c r="U23" i="101"/>
  <c r="T23" i="101"/>
  <c r="S23" i="101"/>
  <c r="R23" i="101"/>
  <c r="J23" i="101"/>
  <c r="C23" i="101" a="1"/>
  <c r="C23" i="101"/>
  <c r="B23" i="101"/>
  <c r="A23" i="101"/>
  <c r="X22" i="101"/>
  <c r="W22" i="101"/>
  <c r="V22" i="101"/>
  <c r="U22" i="101"/>
  <c r="T22" i="101"/>
  <c r="S22" i="101"/>
  <c r="R22" i="101"/>
  <c r="J22" i="101"/>
  <c r="C22" i="101" a="1"/>
  <c r="C22" i="101"/>
  <c r="B22" i="101"/>
  <c r="A22" i="101"/>
  <c r="X21" i="101"/>
  <c r="W21" i="101"/>
  <c r="V21" i="101"/>
  <c r="U21" i="101"/>
  <c r="T21" i="101"/>
  <c r="S21" i="101"/>
  <c r="R21" i="101"/>
  <c r="J21" i="101"/>
  <c r="C21" i="101" a="1"/>
  <c r="C21" i="101"/>
  <c r="B21" i="101"/>
  <c r="A21" i="101"/>
  <c r="X20" i="101"/>
  <c r="W20" i="101"/>
  <c r="V20" i="101"/>
  <c r="U20" i="101"/>
  <c r="T20" i="101"/>
  <c r="S20" i="101"/>
  <c r="R20" i="101"/>
  <c r="J20" i="101"/>
  <c r="C20" i="101" a="1"/>
  <c r="C20" i="101"/>
  <c r="B20" i="101"/>
  <c r="A20" i="101"/>
  <c r="X19" i="101"/>
  <c r="W19" i="101"/>
  <c r="V19" i="101"/>
  <c r="U19" i="101"/>
  <c r="T19" i="101"/>
  <c r="S19" i="101"/>
  <c r="R19" i="101"/>
  <c r="M19" i="101"/>
  <c r="L19" i="101"/>
  <c r="J19" i="101"/>
  <c r="C19" i="101" a="1"/>
  <c r="C19" i="101"/>
  <c r="B19" i="101"/>
  <c r="A19" i="101"/>
  <c r="X18" i="101"/>
  <c r="W18" i="101"/>
  <c r="V18" i="101"/>
  <c r="U18" i="101"/>
  <c r="T18" i="101"/>
  <c r="S18" i="101"/>
  <c r="R18" i="101"/>
  <c r="J18" i="101"/>
  <c r="C18" i="101" a="1"/>
  <c r="C18" i="101"/>
  <c r="B18" i="101"/>
  <c r="A18" i="101"/>
  <c r="X17" i="101"/>
  <c r="W17" i="101"/>
  <c r="V17" i="101"/>
  <c r="U17" i="101"/>
  <c r="T17" i="101"/>
  <c r="S17" i="101"/>
  <c r="R17" i="101"/>
  <c r="J17" i="101"/>
  <c r="C17" i="101" a="1"/>
  <c r="C17" i="101"/>
  <c r="B17" i="101"/>
  <c r="A17" i="101"/>
  <c r="X16" i="101"/>
  <c r="W16" i="101"/>
  <c r="V16" i="101"/>
  <c r="U16" i="101"/>
  <c r="T16" i="101"/>
  <c r="S16" i="101"/>
  <c r="R16" i="101"/>
  <c r="M16" i="101"/>
  <c r="J16" i="101"/>
  <c r="C16" i="101" a="1"/>
  <c r="C16" i="101"/>
  <c r="B16" i="101"/>
  <c r="A16" i="101"/>
  <c r="X15" i="101"/>
  <c r="W15" i="101"/>
  <c r="V15" i="101"/>
  <c r="U15" i="101"/>
  <c r="T15" i="101"/>
  <c r="S15" i="101"/>
  <c r="R15" i="101"/>
  <c r="J15" i="101"/>
  <c r="C15" i="101" a="1"/>
  <c r="C15" i="101"/>
  <c r="B15" i="101"/>
  <c r="A15" i="101"/>
  <c r="X14" i="101"/>
  <c r="W14" i="101"/>
  <c r="V14" i="101"/>
  <c r="U14" i="101"/>
  <c r="T14" i="101"/>
  <c r="S14" i="101"/>
  <c r="R14" i="101"/>
  <c r="J14" i="101"/>
  <c r="C14" i="101" a="1"/>
  <c r="C14" i="101"/>
  <c r="B14" i="101"/>
  <c r="A14" i="101"/>
  <c r="X13" i="101"/>
  <c r="W13" i="101"/>
  <c r="V13" i="101"/>
  <c r="U13" i="101"/>
  <c r="T13" i="101"/>
  <c r="S13" i="101"/>
  <c r="R13" i="101"/>
  <c r="J13" i="101"/>
  <c r="C13" i="101" a="1"/>
  <c r="C13" i="101"/>
  <c r="B13" i="101"/>
  <c r="A13" i="101"/>
  <c r="AD12" i="101"/>
  <c r="AC12" i="101"/>
  <c r="X12" i="101"/>
  <c r="W12" i="101"/>
  <c r="V12" i="101"/>
  <c r="U12" i="101"/>
  <c r="T12" i="101"/>
  <c r="S12" i="101"/>
  <c r="R12" i="101"/>
  <c r="M12" i="101"/>
  <c r="L12" i="101"/>
  <c r="J12" i="101"/>
  <c r="C12" i="101" a="1"/>
  <c r="C12" i="101"/>
  <c r="B12" i="101"/>
  <c r="AD11" i="101"/>
  <c r="AC11" i="101"/>
  <c r="L53" i="100"/>
  <c r="H53" i="100"/>
  <c r="L52" i="100"/>
  <c r="H52" i="100"/>
  <c r="L51" i="100"/>
  <c r="H51" i="100"/>
  <c r="L50" i="100"/>
  <c r="H50" i="100"/>
  <c r="L47" i="100"/>
  <c r="H47" i="100"/>
  <c r="M42" i="100"/>
  <c r="L42" i="100"/>
  <c r="K42" i="100"/>
  <c r="J42" i="100"/>
  <c r="X41" i="100"/>
  <c r="W41" i="100"/>
  <c r="V41" i="100"/>
  <c r="U41" i="100"/>
  <c r="T41" i="100"/>
  <c r="S41" i="100"/>
  <c r="R41" i="100"/>
  <c r="C41" i="100" a="1"/>
  <c r="C41" i="100"/>
  <c r="B41" i="100"/>
  <c r="A41" i="100"/>
  <c r="X40" i="100"/>
  <c r="W40" i="100"/>
  <c r="V40" i="100"/>
  <c r="U40" i="100"/>
  <c r="T40" i="100"/>
  <c r="S40" i="100"/>
  <c r="R40" i="100"/>
  <c r="C40" i="100" a="1"/>
  <c r="C40" i="100"/>
  <c r="B40" i="100"/>
  <c r="A40" i="100"/>
  <c r="X39" i="100"/>
  <c r="W39" i="100"/>
  <c r="V39" i="100"/>
  <c r="U39" i="100"/>
  <c r="T39" i="100"/>
  <c r="S39" i="100"/>
  <c r="R39" i="100"/>
  <c r="C39" i="100" a="1"/>
  <c r="C39" i="100"/>
  <c r="B39" i="100"/>
  <c r="A39" i="100"/>
  <c r="X38" i="100"/>
  <c r="W38" i="100"/>
  <c r="V38" i="100"/>
  <c r="U38" i="100"/>
  <c r="T38" i="100"/>
  <c r="S38" i="100"/>
  <c r="R38" i="100"/>
  <c r="C38" i="100" a="1"/>
  <c r="C38" i="100"/>
  <c r="B38" i="100"/>
  <c r="A38" i="100"/>
  <c r="X37" i="100"/>
  <c r="W37" i="100"/>
  <c r="V37" i="100"/>
  <c r="U37" i="100"/>
  <c r="T37" i="100"/>
  <c r="S37" i="100"/>
  <c r="R37" i="100"/>
  <c r="C37" i="100" a="1"/>
  <c r="C37" i="100"/>
  <c r="B37" i="100"/>
  <c r="A37" i="100"/>
  <c r="X36" i="100"/>
  <c r="W36" i="100"/>
  <c r="V36" i="100"/>
  <c r="U36" i="100"/>
  <c r="T36" i="100"/>
  <c r="S36" i="100"/>
  <c r="R36" i="100"/>
  <c r="C36" i="100" a="1"/>
  <c r="C36" i="100"/>
  <c r="B36" i="100"/>
  <c r="A36" i="100"/>
  <c r="X35" i="100"/>
  <c r="W35" i="100"/>
  <c r="V35" i="100"/>
  <c r="U35" i="100"/>
  <c r="T35" i="100"/>
  <c r="S35" i="100"/>
  <c r="R35" i="100"/>
  <c r="C35" i="100" a="1"/>
  <c r="C35" i="100"/>
  <c r="B35" i="100"/>
  <c r="A35" i="100"/>
  <c r="X34" i="100"/>
  <c r="W34" i="100"/>
  <c r="V34" i="100"/>
  <c r="U34" i="100"/>
  <c r="T34" i="100"/>
  <c r="S34" i="100"/>
  <c r="R34" i="100"/>
  <c r="C34" i="100" a="1"/>
  <c r="C34" i="100"/>
  <c r="B34" i="100"/>
  <c r="A34" i="100"/>
  <c r="X33" i="100"/>
  <c r="W33" i="100"/>
  <c r="V33" i="100"/>
  <c r="U33" i="100"/>
  <c r="T33" i="100"/>
  <c r="S33" i="100"/>
  <c r="R33" i="100"/>
  <c r="C33" i="100" a="1"/>
  <c r="C33" i="100"/>
  <c r="B33" i="100"/>
  <c r="A33" i="100"/>
  <c r="X32" i="100"/>
  <c r="W32" i="100"/>
  <c r="V32" i="100"/>
  <c r="U32" i="100"/>
  <c r="T32" i="100"/>
  <c r="S32" i="100"/>
  <c r="R32" i="100"/>
  <c r="C32" i="100" a="1"/>
  <c r="C32" i="100"/>
  <c r="B32" i="100"/>
  <c r="A32" i="100"/>
  <c r="X31" i="100"/>
  <c r="W31" i="100"/>
  <c r="V31" i="100"/>
  <c r="U31" i="100"/>
  <c r="T31" i="100"/>
  <c r="S31" i="100"/>
  <c r="R31" i="100"/>
  <c r="C31" i="100" a="1"/>
  <c r="C31" i="100"/>
  <c r="B31" i="100"/>
  <c r="A31" i="100"/>
  <c r="X30" i="100"/>
  <c r="W30" i="100"/>
  <c r="V30" i="100"/>
  <c r="U30" i="100"/>
  <c r="T30" i="100"/>
  <c r="S30" i="100"/>
  <c r="R30" i="100"/>
  <c r="C30" i="100" a="1"/>
  <c r="C30" i="100"/>
  <c r="B30" i="100"/>
  <c r="A30" i="100"/>
  <c r="X29" i="100"/>
  <c r="W29" i="100"/>
  <c r="V29" i="100"/>
  <c r="U29" i="100"/>
  <c r="T29" i="100"/>
  <c r="S29" i="100"/>
  <c r="R29" i="100"/>
  <c r="C29" i="100" a="1"/>
  <c r="C29" i="100"/>
  <c r="B29" i="100"/>
  <c r="A29" i="100"/>
  <c r="X28" i="100"/>
  <c r="W28" i="100"/>
  <c r="V28" i="100"/>
  <c r="U28" i="100"/>
  <c r="T28" i="100"/>
  <c r="S28" i="100"/>
  <c r="R28" i="100"/>
  <c r="C28" i="100" a="1"/>
  <c r="C28" i="100"/>
  <c r="B28" i="100"/>
  <c r="A28" i="100"/>
  <c r="X27" i="100"/>
  <c r="W27" i="100"/>
  <c r="V27" i="100"/>
  <c r="U27" i="100"/>
  <c r="T27" i="100"/>
  <c r="S27" i="100"/>
  <c r="R27" i="100"/>
  <c r="C27" i="100" a="1"/>
  <c r="C27" i="100"/>
  <c r="B27" i="100"/>
  <c r="A27" i="100"/>
  <c r="X26" i="100"/>
  <c r="W26" i="100"/>
  <c r="V26" i="100"/>
  <c r="U26" i="100"/>
  <c r="T26" i="100"/>
  <c r="S26" i="100"/>
  <c r="R26" i="100"/>
  <c r="C26" i="100" a="1"/>
  <c r="C26" i="100"/>
  <c r="B26" i="100"/>
  <c r="A26" i="100"/>
  <c r="X25" i="100"/>
  <c r="W25" i="100"/>
  <c r="V25" i="100"/>
  <c r="U25" i="100"/>
  <c r="T25" i="100"/>
  <c r="S25" i="100"/>
  <c r="R25" i="100"/>
  <c r="C25" i="100" a="1"/>
  <c r="C25" i="100"/>
  <c r="B25" i="100"/>
  <c r="A25" i="100"/>
  <c r="X24" i="100"/>
  <c r="W24" i="100"/>
  <c r="V24" i="100"/>
  <c r="U24" i="100"/>
  <c r="T24" i="100"/>
  <c r="S24" i="100"/>
  <c r="R24" i="100"/>
  <c r="C24" i="100" a="1"/>
  <c r="C24" i="100"/>
  <c r="B24" i="100"/>
  <c r="A24" i="100"/>
  <c r="X23" i="100"/>
  <c r="W23" i="100"/>
  <c r="V23" i="100"/>
  <c r="U23" i="100"/>
  <c r="T23" i="100"/>
  <c r="S23" i="100"/>
  <c r="R23" i="100"/>
  <c r="C23" i="100" a="1"/>
  <c r="C23" i="100"/>
  <c r="B23" i="100"/>
  <c r="A23" i="100"/>
  <c r="X22" i="100"/>
  <c r="W22" i="100"/>
  <c r="V22" i="100"/>
  <c r="U22" i="100"/>
  <c r="T22" i="100"/>
  <c r="S22" i="100"/>
  <c r="R22" i="100"/>
  <c r="C22" i="100" a="1"/>
  <c r="C22" i="100"/>
  <c r="B22" i="100"/>
  <c r="A22" i="100"/>
  <c r="X21" i="100"/>
  <c r="W21" i="100"/>
  <c r="V21" i="100"/>
  <c r="U21" i="100"/>
  <c r="T21" i="100"/>
  <c r="S21" i="100"/>
  <c r="R21" i="100"/>
  <c r="C21" i="100" a="1"/>
  <c r="C21" i="100"/>
  <c r="B21" i="100"/>
  <c r="A21" i="100"/>
  <c r="X20" i="100"/>
  <c r="W20" i="100"/>
  <c r="V20" i="100"/>
  <c r="U20" i="100"/>
  <c r="T20" i="100"/>
  <c r="S20" i="100"/>
  <c r="R20" i="100"/>
  <c r="C20" i="100" a="1"/>
  <c r="C20" i="100"/>
  <c r="B20" i="100"/>
  <c r="A20" i="100"/>
  <c r="X19" i="100"/>
  <c r="W19" i="100"/>
  <c r="V19" i="100"/>
  <c r="U19" i="100"/>
  <c r="T19" i="100"/>
  <c r="S19" i="100"/>
  <c r="R19" i="100"/>
  <c r="C19" i="100" a="1"/>
  <c r="C19" i="100"/>
  <c r="B19" i="100"/>
  <c r="A19" i="100"/>
  <c r="X18" i="100"/>
  <c r="W18" i="100"/>
  <c r="V18" i="100"/>
  <c r="U18" i="100"/>
  <c r="T18" i="100"/>
  <c r="S18" i="100"/>
  <c r="R18" i="100"/>
  <c r="C18" i="100" a="1"/>
  <c r="C18" i="100"/>
  <c r="B18" i="100"/>
  <c r="A18" i="100"/>
  <c r="X17" i="100"/>
  <c r="W17" i="100"/>
  <c r="V17" i="100"/>
  <c r="U17" i="100"/>
  <c r="T17" i="100"/>
  <c r="S17" i="100"/>
  <c r="R17" i="100"/>
  <c r="C17" i="100" a="1"/>
  <c r="C17" i="100"/>
  <c r="B17" i="100"/>
  <c r="A17" i="100"/>
  <c r="X16" i="100"/>
  <c r="W16" i="100"/>
  <c r="V16" i="100"/>
  <c r="U16" i="100"/>
  <c r="T16" i="100"/>
  <c r="S16" i="100"/>
  <c r="R16" i="100"/>
  <c r="C16" i="100" a="1"/>
  <c r="C16" i="100"/>
  <c r="B16" i="100"/>
  <c r="A16" i="100"/>
  <c r="X15" i="100"/>
  <c r="W15" i="100"/>
  <c r="V15" i="100"/>
  <c r="U15" i="100"/>
  <c r="T15" i="100"/>
  <c r="S15" i="100"/>
  <c r="R15" i="100"/>
  <c r="C15" i="100" a="1"/>
  <c r="C15" i="100"/>
  <c r="B15" i="100"/>
  <c r="A15" i="100"/>
  <c r="X14" i="100"/>
  <c r="W14" i="100"/>
  <c r="V14" i="100"/>
  <c r="U14" i="100"/>
  <c r="T14" i="100"/>
  <c r="S14" i="100"/>
  <c r="R14" i="100"/>
  <c r="C14" i="100" a="1"/>
  <c r="C14" i="100"/>
  <c r="B14" i="100"/>
  <c r="A14" i="100"/>
  <c r="X13" i="100"/>
  <c r="W13" i="100"/>
  <c r="V13" i="100"/>
  <c r="U13" i="100"/>
  <c r="T13" i="100"/>
  <c r="S13" i="100"/>
  <c r="R13" i="100"/>
  <c r="C13" i="100" a="1"/>
  <c r="C13" i="100"/>
  <c r="B13" i="100"/>
  <c r="A13" i="100"/>
  <c r="AD12" i="100"/>
  <c r="AC12" i="100"/>
  <c r="X12" i="100"/>
  <c r="W12" i="100"/>
  <c r="V12" i="100"/>
  <c r="U12" i="100"/>
  <c r="T12" i="100"/>
  <c r="S12" i="100"/>
  <c r="R12" i="100"/>
  <c r="C12" i="100" a="1"/>
  <c r="C12" i="100"/>
  <c r="B12" i="100"/>
  <c r="AD11" i="100"/>
  <c r="AC11" i="100"/>
  <c r="F20" i="56"/>
  <c r="F19" i="56"/>
  <c r="F18" i="56"/>
  <c r="F17" i="56"/>
  <c r="F16" i="56"/>
  <c r="F15" i="56"/>
  <c r="F14" i="56"/>
  <c r="F13" i="56"/>
  <c r="F12" i="56"/>
  <c r="F11" i="56"/>
  <c r="F10" i="56"/>
  <c r="F9" i="56"/>
  <c r="F8" i="56"/>
  <c r="F7" i="56"/>
  <c r="F6" i="56"/>
  <c r="F5" i="56"/>
  <c r="F4" i="56"/>
  <c r="F25" i="57"/>
  <c r="F24" i="57"/>
  <c r="F23" i="57"/>
  <c r="F22" i="57"/>
  <c r="F21" i="57"/>
  <c r="F20" i="57"/>
  <c r="F19" i="57"/>
  <c r="F18" i="57"/>
  <c r="F17" i="57"/>
  <c r="F16" i="57"/>
  <c r="F15" i="57"/>
  <c r="F14" i="57"/>
  <c r="F13" i="57"/>
  <c r="F12" i="57"/>
  <c r="F11" i="57"/>
  <c r="F10" i="57"/>
  <c r="F9" i="57"/>
  <c r="F8" i="57"/>
  <c r="F7" i="57"/>
  <c r="F6" i="57"/>
  <c r="F5" i="57"/>
  <c r="F4" i="57"/>
  <c r="F6" i="87"/>
  <c r="E6" i="87"/>
  <c r="F5" i="87"/>
  <c r="E5" i="87"/>
  <c r="F4" i="87"/>
  <c r="E4" i="87"/>
  <c r="F3" i="87"/>
  <c r="E3" i="87"/>
  <c r="O53" i="116"/>
  <c r="I53" i="116"/>
  <c r="K52" i="116"/>
  <c r="I52" i="116"/>
  <c r="O48" i="116"/>
  <c r="I48" i="116"/>
  <c r="D48" i="116"/>
  <c r="D45" i="116"/>
  <c r="P43" i="116"/>
  <c r="AA42" i="116"/>
  <c r="Z42" i="116"/>
  <c r="Y42" i="116"/>
  <c r="W42" i="116"/>
  <c r="M41" i="116"/>
  <c r="L41" i="116"/>
  <c r="B41" i="116"/>
  <c r="AA40" i="116"/>
  <c r="Z40" i="116"/>
  <c r="Y40" i="116"/>
  <c r="W40" i="116"/>
  <c r="M40" i="116"/>
  <c r="L40" i="116"/>
  <c r="B40" i="116"/>
  <c r="AA39" i="116"/>
  <c r="Z39" i="116"/>
  <c r="V39" i="116" s="1"/>
  <c r="Y39" i="116"/>
  <c r="W39" i="116"/>
  <c r="M39" i="116"/>
  <c r="L39" i="116"/>
  <c r="B39" i="116"/>
  <c r="AA38" i="116"/>
  <c r="Z38" i="116"/>
  <c r="Y38" i="116"/>
  <c r="W38" i="116"/>
  <c r="M38" i="116"/>
  <c r="L38" i="116"/>
  <c r="B38" i="116"/>
  <c r="AA37" i="116"/>
  <c r="Z37" i="116"/>
  <c r="Y37" i="116"/>
  <c r="W37" i="116"/>
  <c r="M37" i="116"/>
  <c r="L37" i="116"/>
  <c r="B37" i="116"/>
  <c r="AA36" i="116"/>
  <c r="X36" i="116" s="1"/>
  <c r="Z36" i="116"/>
  <c r="Y36" i="116"/>
  <c r="W36" i="116"/>
  <c r="M36" i="116"/>
  <c r="L36" i="116"/>
  <c r="B36" i="116"/>
  <c r="AA35" i="116"/>
  <c r="Z35" i="116"/>
  <c r="Y35" i="116"/>
  <c r="W35" i="116"/>
  <c r="M35" i="116"/>
  <c r="L35" i="116"/>
  <c r="B35" i="116"/>
  <c r="AA34" i="116"/>
  <c r="Z34" i="116"/>
  <c r="Y34" i="116"/>
  <c r="W34" i="116"/>
  <c r="M34" i="116"/>
  <c r="L34" i="116"/>
  <c r="B34" i="116"/>
  <c r="AA33" i="116"/>
  <c r="Z33" i="116"/>
  <c r="Y33" i="116"/>
  <c r="W33" i="116"/>
  <c r="M33" i="116"/>
  <c r="L33" i="116"/>
  <c r="B33" i="116"/>
  <c r="AA32" i="116"/>
  <c r="Z32" i="116"/>
  <c r="Y32" i="116"/>
  <c r="W32" i="116"/>
  <c r="M32" i="116"/>
  <c r="L32" i="116"/>
  <c r="B32" i="116"/>
  <c r="AA31" i="116"/>
  <c r="Z31" i="116"/>
  <c r="Y31" i="116"/>
  <c r="W31" i="116"/>
  <c r="M31" i="116"/>
  <c r="L31" i="116"/>
  <c r="B31" i="116"/>
  <c r="AA30" i="116"/>
  <c r="Z30" i="116"/>
  <c r="Y30" i="116"/>
  <c r="W30" i="116"/>
  <c r="M30" i="116"/>
  <c r="L30" i="116"/>
  <c r="B30" i="116"/>
  <c r="AA29" i="116"/>
  <c r="Z29" i="116"/>
  <c r="Y29" i="116"/>
  <c r="W29" i="116"/>
  <c r="M29" i="116"/>
  <c r="L29" i="116"/>
  <c r="B29" i="116"/>
  <c r="AA28" i="116"/>
  <c r="Z28" i="116"/>
  <c r="Y28" i="116"/>
  <c r="W28" i="116"/>
  <c r="M28" i="116"/>
  <c r="L28" i="116"/>
  <c r="B28" i="116"/>
  <c r="AA27" i="116"/>
  <c r="Z27" i="116"/>
  <c r="Y27" i="116"/>
  <c r="W27" i="116"/>
  <c r="M27" i="116"/>
  <c r="L27" i="116"/>
  <c r="B27" i="116"/>
  <c r="AA26" i="116"/>
  <c r="Z26" i="116"/>
  <c r="Y26" i="116"/>
  <c r="W26" i="116"/>
  <c r="M26" i="116"/>
  <c r="L26" i="116"/>
  <c r="B26" i="116"/>
  <c r="AA25" i="116"/>
  <c r="Z25" i="116"/>
  <c r="Y25" i="116"/>
  <c r="W25" i="116"/>
  <c r="M25" i="116"/>
  <c r="L25" i="116"/>
  <c r="B25" i="116"/>
  <c r="AA24" i="116"/>
  <c r="Z24" i="116"/>
  <c r="Y24" i="116"/>
  <c r="W24" i="116"/>
  <c r="M24" i="116"/>
  <c r="L24" i="116"/>
  <c r="B24" i="116"/>
  <c r="AA23" i="116"/>
  <c r="Z23" i="116"/>
  <c r="Y23" i="116"/>
  <c r="W23" i="116"/>
  <c r="M23" i="116"/>
  <c r="L23" i="116"/>
  <c r="B23" i="116"/>
  <c r="AA22" i="116"/>
  <c r="Z22" i="116"/>
  <c r="Y22" i="116"/>
  <c r="W22" i="116"/>
  <c r="M22" i="116"/>
  <c r="L22" i="116"/>
  <c r="B22" i="116"/>
  <c r="AA21" i="116"/>
  <c r="Z21" i="116"/>
  <c r="Y21" i="116"/>
  <c r="W21" i="116"/>
  <c r="M21" i="116"/>
  <c r="L21" i="116"/>
  <c r="B21" i="116"/>
  <c r="AA20" i="116"/>
  <c r="Z20" i="116"/>
  <c r="Y20" i="116"/>
  <c r="W20" i="116"/>
  <c r="M20" i="116"/>
  <c r="L20" i="116"/>
  <c r="B20" i="116"/>
  <c r="AA19" i="116"/>
  <c r="Z19" i="116"/>
  <c r="Y19" i="116"/>
  <c r="W19" i="116"/>
  <c r="M19" i="116"/>
  <c r="L19" i="116"/>
  <c r="B19" i="116"/>
  <c r="AA18" i="116"/>
  <c r="Z18" i="116"/>
  <c r="Y18" i="116"/>
  <c r="W18" i="116"/>
  <c r="M18" i="116"/>
  <c r="L18" i="116"/>
  <c r="B18" i="116"/>
  <c r="AA17" i="116"/>
  <c r="Z17" i="116"/>
  <c r="Y17" i="116"/>
  <c r="W17" i="116"/>
  <c r="M17" i="116"/>
  <c r="L17" i="116"/>
  <c r="B17" i="116"/>
  <c r="AA16" i="116"/>
  <c r="Z16" i="116"/>
  <c r="Y16" i="116"/>
  <c r="W16" i="116"/>
  <c r="M16" i="116"/>
  <c r="L16" i="116"/>
  <c r="B16" i="116"/>
  <c r="AA15" i="116"/>
  <c r="Z15" i="116"/>
  <c r="Y15" i="116"/>
  <c r="W15" i="116"/>
  <c r="M15" i="116"/>
  <c r="L15" i="116"/>
  <c r="B15" i="116"/>
  <c r="AA14" i="116"/>
  <c r="Z14" i="116"/>
  <c r="Y14" i="116"/>
  <c r="W14" i="116"/>
  <c r="M14" i="116"/>
  <c r="L14" i="116"/>
  <c r="B14" i="116"/>
  <c r="AA13" i="116"/>
  <c r="Z13" i="116"/>
  <c r="Y13" i="116"/>
  <c r="W13" i="116"/>
  <c r="M13" i="116"/>
  <c r="L13" i="116"/>
  <c r="B13" i="116"/>
  <c r="A13" i="116"/>
  <c r="C13" i="116" s="1"/>
  <c r="AA12" i="116"/>
  <c r="X12" i="116" s="1"/>
  <c r="Z12" i="116"/>
  <c r="Y12" i="116"/>
  <c r="W12" i="116"/>
  <c r="M12" i="116"/>
  <c r="L12" i="116"/>
  <c r="C12" i="116"/>
  <c r="U41" i="116" l="1"/>
  <c r="O41" i="116" s="1"/>
  <c r="X21" i="116"/>
  <c r="V22" i="116"/>
  <c r="V41" i="116"/>
  <c r="X40" i="116"/>
  <c r="V33" i="116"/>
  <c r="V30" i="116"/>
  <c r="X29" i="116"/>
  <c r="X27" i="116"/>
  <c r="V26" i="116"/>
  <c r="V16" i="116"/>
  <c r="X19" i="116"/>
  <c r="V20" i="116"/>
  <c r="X22" i="116"/>
  <c r="X26" i="116"/>
  <c r="A14" i="116"/>
  <c r="A15" i="116" s="1"/>
  <c r="A16" i="116" s="1"/>
  <c r="V13" i="116"/>
  <c r="V14" i="116"/>
  <c r="X25" i="116"/>
  <c r="X33" i="116"/>
  <c r="X35" i="116"/>
  <c r="V36" i="116"/>
  <c r="U36" i="116" s="1"/>
  <c r="O36" i="116" s="1"/>
  <c r="X39" i="116"/>
  <c r="U39" i="116" s="1"/>
  <c r="O39" i="116" s="1"/>
  <c r="V40" i="116"/>
  <c r="X13" i="116"/>
  <c r="U13" i="116" s="1"/>
  <c r="O13" i="116" s="1"/>
  <c r="V17" i="116"/>
  <c r="X20" i="116"/>
  <c r="V23" i="116"/>
  <c r="V25" i="116"/>
  <c r="U25" i="116" s="1"/>
  <c r="O25" i="116" s="1"/>
  <c r="X32" i="116"/>
  <c r="V31" i="116"/>
  <c r="V29" i="116"/>
  <c r="U29" i="116" s="1"/>
  <c r="O29" i="116" s="1"/>
  <c r="X28" i="116"/>
  <c r="V27" i="116"/>
  <c r="V21" i="116"/>
  <c r="X14" i="116"/>
  <c r="V12" i="116"/>
  <c r="U12" i="116" s="1"/>
  <c r="O12" i="116" s="1"/>
  <c r="U22" i="116"/>
  <c r="O22" i="116" s="1"/>
  <c r="X34" i="116"/>
  <c r="V15" i="116"/>
  <c r="X18" i="116"/>
  <c r="V19" i="116"/>
  <c r="U19" i="116" s="1"/>
  <c r="O19" i="116" s="1"/>
  <c r="X24" i="116"/>
  <c r="V28" i="116"/>
  <c r="X31" i="116"/>
  <c r="V32" i="116"/>
  <c r="V34" i="116"/>
  <c r="U34" i="116" s="1"/>
  <c r="O34" i="116" s="1"/>
  <c r="V38" i="116"/>
  <c r="X15" i="116"/>
  <c r="X16" i="116"/>
  <c r="X17" i="116"/>
  <c r="V18" i="116"/>
  <c r="X23" i="116"/>
  <c r="V24" i="116"/>
  <c r="X30" i="116"/>
  <c r="U30" i="116" s="1"/>
  <c r="O30" i="116" s="1"/>
  <c r="V37" i="116"/>
  <c r="X38" i="116"/>
  <c r="X37" i="116"/>
  <c r="V35" i="116"/>
  <c r="U33" i="116"/>
  <c r="O33" i="116" s="1"/>
  <c r="U27" i="116"/>
  <c r="O27" i="116" s="1"/>
  <c r="U20" i="116"/>
  <c r="O20" i="116" s="1"/>
  <c r="AF11" i="116"/>
  <c r="AG11" i="116"/>
  <c r="X42" i="116"/>
  <c r="V42" i="116"/>
  <c r="L43" i="116"/>
  <c r="I51" i="116" s="1"/>
  <c r="K51" i="116" s="1"/>
  <c r="O51" i="116" s="1"/>
  <c r="AG12" i="116"/>
  <c r="O52" i="116"/>
  <c r="N43" i="116"/>
  <c r="AF12" i="116"/>
  <c r="C15" i="116" l="1"/>
  <c r="U28" i="116"/>
  <c r="O28" i="116" s="1"/>
  <c r="U40" i="116"/>
  <c r="O40" i="116" s="1"/>
  <c r="U21" i="116"/>
  <c r="O21" i="116" s="1"/>
  <c r="U26" i="116"/>
  <c r="O26" i="116" s="1"/>
  <c r="U42" i="116"/>
  <c r="O42" i="116" s="1"/>
  <c r="U35" i="116"/>
  <c r="O35" i="116" s="1"/>
  <c r="U16" i="116"/>
  <c r="O16" i="116" s="1"/>
  <c r="U32" i="116"/>
  <c r="O32" i="116" s="1"/>
  <c r="U38" i="116"/>
  <c r="O38" i="116" s="1"/>
  <c r="U17" i="116"/>
  <c r="O17" i="116" s="1"/>
  <c r="U15" i="116"/>
  <c r="O15" i="116" s="1"/>
  <c r="U14" i="116"/>
  <c r="O14" i="116" s="1"/>
  <c r="C14" i="116"/>
  <c r="U24" i="116"/>
  <c r="O24" i="116" s="1"/>
  <c r="U37" i="116"/>
  <c r="O37" i="116" s="1"/>
  <c r="U23" i="116"/>
  <c r="O23" i="116" s="1"/>
  <c r="U31" i="116"/>
  <c r="O31" i="116" s="1"/>
  <c r="U18" i="116"/>
  <c r="O18" i="116" s="1"/>
  <c r="A17" i="116"/>
  <c r="C16" i="116"/>
  <c r="O43" i="116" l="1"/>
  <c r="I54" i="116" s="1"/>
  <c r="K54" i="116" s="1"/>
  <c r="O54" i="116" s="1"/>
  <c r="C17" i="116"/>
  <c r="A18" i="116"/>
  <c r="A19" i="116" l="1"/>
  <c r="C18" i="116"/>
  <c r="C19" i="116" l="1"/>
  <c r="A20" i="116"/>
  <c r="A21" i="116" l="1"/>
  <c r="C20" i="116"/>
  <c r="C21" i="116" l="1"/>
  <c r="A22" i="116"/>
  <c r="A23" i="116" l="1"/>
  <c r="C22" i="116"/>
  <c r="C23" i="116" l="1"/>
  <c r="A24" i="116"/>
  <c r="A25" i="116" l="1"/>
  <c r="C24" i="116"/>
  <c r="A26" i="116" l="1"/>
  <c r="C25" i="116"/>
  <c r="A27" i="116" l="1"/>
  <c r="C26" i="116"/>
  <c r="A28" i="116" l="1"/>
  <c r="C27" i="116"/>
  <c r="A29" i="116" l="1"/>
  <c r="C28" i="116"/>
  <c r="C29" i="116" l="1"/>
  <c r="A30" i="116"/>
  <c r="A31" i="116" l="1"/>
  <c r="C30" i="116"/>
  <c r="C31" i="116" l="1"/>
  <c r="A32" i="116"/>
  <c r="A33" i="116" l="1"/>
  <c r="C32" i="116"/>
  <c r="C33" i="116" l="1"/>
  <c r="A34" i="116"/>
  <c r="A35" i="116" l="1"/>
  <c r="C34" i="116"/>
  <c r="C35" i="116" l="1"/>
  <c r="A36" i="116"/>
  <c r="A37" i="116" l="1"/>
  <c r="C36" i="116"/>
  <c r="A38" i="116" l="1"/>
  <c r="C37" i="116"/>
  <c r="C38" i="116" l="1"/>
  <c r="A39" i="116"/>
  <c r="A40" i="116" l="1"/>
  <c r="C39" i="116"/>
  <c r="C40" i="116" l="1"/>
  <c r="A41" i="116"/>
  <c r="A42" i="116" s="1"/>
  <c r="C42" i="116" s="1"/>
  <c r="C41" i="116" l="1"/>
</calcChain>
</file>

<file path=xl/sharedStrings.xml><?xml version="1.0" encoding="utf-8"?>
<sst xmlns="http://schemas.openxmlformats.org/spreadsheetml/2006/main" count="708" uniqueCount="152">
  <si>
    <t>EMPRESA:</t>
  </si>
  <si>
    <t>Horário de Trabalho Interno</t>
  </si>
  <si>
    <t>Urbana 2</t>
  </si>
  <si>
    <t>Urbana</t>
  </si>
  <si>
    <t>ENDEREÇO:</t>
  </si>
  <si>
    <t>CEP:</t>
  </si>
  <si>
    <t>02301-110</t>
  </si>
  <si>
    <t>Ficha Individual - Art 74/3 CLT</t>
  </si>
  <si>
    <t>Folga</t>
  </si>
  <si>
    <t>BAIRRO:</t>
  </si>
  <si>
    <t>CIDADE:</t>
  </si>
  <si>
    <t>SÃO PAULO</t>
  </si>
  <si>
    <t>UF:</t>
  </si>
  <si>
    <t>SP</t>
  </si>
  <si>
    <t>Portaria Nº 3082 de 11/04/98</t>
  </si>
  <si>
    <t>CODIGO: 0000</t>
  </si>
  <si>
    <t>NOME</t>
  </si>
  <si>
    <t>MÊS</t>
  </si>
  <si>
    <t>CARGO : VIGILANTE DE ESCOLTA ARMADA</t>
  </si>
  <si>
    <t>RODOVIÁRIO</t>
  </si>
  <si>
    <t>DEPTO/ SETOR/ SEÇÃO:   0001/ 0002 / 0000</t>
  </si>
  <si>
    <t>URBANO</t>
  </si>
  <si>
    <t>DATA</t>
  </si>
  <si>
    <t>DIA</t>
  </si>
  <si>
    <t>TIPO</t>
  </si>
  <si>
    <t xml:space="preserve">ENTRADA </t>
  </si>
  <si>
    <t>REFEIÇÃO (ALMOÇO)</t>
  </si>
  <si>
    <t>REFEIÇÃO (JANTAR)</t>
  </si>
  <si>
    <t xml:space="preserve">SAÍDA </t>
  </si>
  <si>
    <t>PERNOITE</t>
  </si>
  <si>
    <t>Horas Desconto</t>
  </si>
  <si>
    <t>T. H Corrida</t>
  </si>
  <si>
    <t>DIÁRIA</t>
  </si>
  <si>
    <t>AD. NOT.</t>
  </si>
  <si>
    <t>AJ. CUSTO</t>
  </si>
  <si>
    <t>ASS. FUNCIONÁRIO</t>
  </si>
  <si>
    <t>OBSERVAÇÕES</t>
  </si>
  <si>
    <t>ESCOLTA</t>
  </si>
  <si>
    <t>SAÍDA</t>
  </si>
  <si>
    <t>ENTRADA</t>
  </si>
  <si>
    <t>SOMA AD. NOT</t>
  </si>
  <si>
    <t>RESULTADO ENTRADA</t>
  </si>
  <si>
    <t>REFERENCIA ENTRADA</t>
  </si>
  <si>
    <t>RESULTADO SAIDA</t>
  </si>
  <si>
    <t>REFERENCIA SAIDA</t>
  </si>
  <si>
    <t>CONDIÇÃO DE SOMA ENTRADA</t>
  </si>
  <si>
    <t>CONDIÇÃO DE SOMA SAIDA</t>
  </si>
  <si>
    <t>REFERENCIA HORAS EM NUMEROS</t>
  </si>
  <si>
    <t>Q1</t>
  </si>
  <si>
    <t>Q2</t>
  </si>
  <si>
    <t>FOLGA</t>
  </si>
  <si>
    <t>TOTAL</t>
  </si>
  <si>
    <t>FALTAS</t>
  </si>
  <si>
    <t>JUSTIFICADAS: ___________________                                                     NÃO JUSTIFICADAS: ___________________</t>
  </si>
  <si>
    <t>ASSINATURA COLABORADOR</t>
  </si>
  <si>
    <t>FOLGAS</t>
  </si>
  <si>
    <t>SUSPENÇÃO</t>
  </si>
  <si>
    <t>ADVERTÊNCIA</t>
  </si>
  <si>
    <t>VISTO SUPERVISOR OPERACIONAL</t>
  </si>
  <si>
    <t xml:space="preserve">  </t>
  </si>
  <si>
    <t>1ºQ</t>
  </si>
  <si>
    <t>2ºQ</t>
  </si>
  <si>
    <t>Hora Extra 60%</t>
  </si>
  <si>
    <t>Diárias</t>
  </si>
  <si>
    <t>Ajuda de Custo</t>
  </si>
  <si>
    <t>DATA:  _____/_____/_____</t>
  </si>
  <si>
    <t>Hora Adicional Noturno 20%</t>
  </si>
  <si>
    <t>TERMO DE COMPROMISSO
Declaro que as informações acima prestadas são verdadeiras, e assumo a inteira responsabilidade pelas mesmas.</t>
  </si>
  <si>
    <t>MARSHALS SEGURANÇA LTDA</t>
  </si>
  <si>
    <t>RUA MARIA DO CARMO SENE, 156</t>
  </si>
  <si>
    <t>VILA PAULICÉIA</t>
  </si>
  <si>
    <t>NOME DE GUERRA</t>
  </si>
  <si>
    <t xml:space="preserve">HR ATUAL </t>
  </si>
  <si>
    <t>HORA META</t>
  </si>
  <si>
    <t>EXTRAS</t>
  </si>
  <si>
    <t>STATUS</t>
  </si>
  <si>
    <t>FOLGAS- FALTAS - ATESTADOS</t>
  </si>
  <si>
    <t xml:space="preserve">FÉRIAS </t>
  </si>
  <si>
    <t xml:space="preserve">OUTROS </t>
  </si>
  <si>
    <r>
      <rPr>
        <b/>
        <sz val="16"/>
        <color theme="0"/>
        <rFont val="Calibri"/>
        <family val="2"/>
      </rPr>
      <t xml:space="preserve">RESUMO QUINZENAL DE DIÁRIAS - ABRIL X MAIO </t>
    </r>
    <r>
      <rPr>
        <b/>
        <sz val="16"/>
        <color rgb="FFFFFF00"/>
        <rFont val="Calibri"/>
        <family val="2"/>
      </rPr>
      <t xml:space="preserve"> - </t>
    </r>
    <r>
      <rPr>
        <b/>
        <sz val="16"/>
        <rFont val="Calibri"/>
        <family val="2"/>
      </rPr>
      <t xml:space="preserve"> </t>
    </r>
    <r>
      <rPr>
        <b/>
        <u/>
        <sz val="16"/>
        <color theme="0"/>
        <rFont val="Calibri"/>
        <family val="2"/>
      </rPr>
      <t>REFERENTE   26/04 A 10/05</t>
    </r>
  </si>
  <si>
    <t xml:space="preserve">NOME DO AGENTE </t>
  </si>
  <si>
    <t>NOME GUERRA</t>
  </si>
  <si>
    <t>QTDE.</t>
  </si>
  <si>
    <t xml:space="preserve">PAGAR </t>
  </si>
  <si>
    <t>À PAGAR</t>
  </si>
  <si>
    <t>OBSERVAÇÃO</t>
  </si>
  <si>
    <t xml:space="preserve">ADILSON PEREIRA DA SILVA </t>
  </si>
  <si>
    <t>ADILSON</t>
  </si>
  <si>
    <t>MARCO APARECIDO DA SILVA</t>
  </si>
  <si>
    <t>APARECIDO</t>
  </si>
  <si>
    <t>GABRIEL DAMIAO RAMIRES DOS SANTOS</t>
  </si>
  <si>
    <t xml:space="preserve">DAMIÃO </t>
  </si>
  <si>
    <t>EMERSON JOSE DA SILVA</t>
  </si>
  <si>
    <t>EMERSON</t>
  </si>
  <si>
    <t>EVERSON JOSE DA SILVA</t>
  </si>
  <si>
    <t>EVERSON</t>
  </si>
  <si>
    <t>LUIS FAUSTINO</t>
  </si>
  <si>
    <t>FAUSTINO</t>
  </si>
  <si>
    <t>IOLANDO CARMARGO DE CARVALHO</t>
  </si>
  <si>
    <t>IOLANDO</t>
  </si>
  <si>
    <t>JAIRO JOAQUIM DE SANTANA</t>
  </si>
  <si>
    <t>JAIRO</t>
  </si>
  <si>
    <t>JEFERSON YUKIO YAMADA</t>
  </si>
  <si>
    <t>JEFERSON</t>
  </si>
  <si>
    <t>ISRAEL DA SILVA JOSINO</t>
  </si>
  <si>
    <t>JOSINO</t>
  </si>
  <si>
    <t>LOURENÇO VITOR DA SILVA</t>
  </si>
  <si>
    <t>LOURENÇO</t>
  </si>
  <si>
    <t>ANTONIO ROBERTO SABINO</t>
  </si>
  <si>
    <t>SABINO</t>
  </si>
  <si>
    <t>SANDRO SOARES TEIXEIRA</t>
  </si>
  <si>
    <t>SANDRO</t>
  </si>
  <si>
    <t>SERGIO SEVERINO DE ARRUDA</t>
  </si>
  <si>
    <t>SERGIO</t>
  </si>
  <si>
    <t>VANDERLEI ALVES MARCELINO</t>
  </si>
  <si>
    <t>VANDERLEI</t>
  </si>
  <si>
    <t>RESUMO QUINZENAL DE DIÁRIAS -   ABRIL X MAIO  -  REFERENTE    10/05 a 25/05</t>
  </si>
  <si>
    <t>VR</t>
  </si>
  <si>
    <t>DIARIA</t>
  </si>
  <si>
    <t>CAFÉ</t>
  </si>
  <si>
    <t>TOTAL HORAS</t>
  </si>
  <si>
    <t>calc</t>
  </si>
  <si>
    <t>REFEIÇÃO</t>
  </si>
  <si>
    <t>T. HORAS</t>
  </si>
  <si>
    <t>Rodoviário</t>
  </si>
  <si>
    <t>O.S. XXXX - Trajeto Ouvidor - Santos</t>
  </si>
  <si>
    <t>FALTA</t>
  </si>
  <si>
    <t>SUSPENSÃO</t>
  </si>
  <si>
    <t>ADVERTENCIA</t>
  </si>
  <si>
    <t>JUSTIFICADAS: ______________            NÃO JUSTIFICADAS: ______________</t>
  </si>
  <si>
    <t>Dia</t>
  </si>
  <si>
    <t>Data Completa</t>
  </si>
  <si>
    <t>Dia da Semana</t>
  </si>
  <si>
    <t>Mês / Ano</t>
  </si>
  <si>
    <t>Quinzena</t>
  </si>
  <si>
    <t>FILTRO</t>
  </si>
  <si>
    <t>Modal</t>
  </si>
  <si>
    <t>Valor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</si>
  <si>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</si>
  <si>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</si>
  <si>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</si>
  <si>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</si>
  <si>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</si>
  <si>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</si>
  <si>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</si>
  <si>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</si>
  <si>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</si>
  <si>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</si>
  <si>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</si>
  <si>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</si>
  <si>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 xml:space="preserve">GRUPO TORRES PATRIMONIAL </t>
  </si>
  <si>
    <t>AGENTE DE ESCOLTA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</si>
</sst>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h:mm;@"/>
    <numFmt numFmtId="165" formatCode="[h]:mm:ss;@"/>
    <numFmt numFmtId="166" formatCode="&quot;R$&quot;\ #,##0.00"/>
    <numFmt numFmtId="167" formatCode="[$-F400]h:mm:ss\ AM/PM"/>
    <numFmt numFmtId="168" formatCode="_-[$R$-416]\ * #,##0.00_-;\-[$R$-416]\ * #,##0.00_-;_-[$R$-416]\ * &quot;-&quot;??_-;_-@"/>
    <numFmt numFmtId="169" formatCode="[h]:mm"/>
    <numFmt numFmtId="170" formatCode="_-[$R$-416]\ * #,##0.00_-;\-[$R$-416]\ * #,##0.00_-;_-[$R$-416]\ * &quot;-&quot;??_-;_-@_-"/>
  </numFmts>
  <fonts count="36">
    <font>
      <sz val="11"/>
      <color rgb="FF000000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sz val="8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  <font>
      <b/>
      <sz val="11"/>
      <color theme="0"/>
      <name val="Calibri"/>
      <family val="2"/>
    </font>
    <font>
      <b/>
      <sz val="14"/>
      <name val="Arial"/>
      <family val="2"/>
    </font>
    <font>
      <sz val="13"/>
      <name val="Calibri"/>
      <family val="2"/>
    </font>
    <font>
      <b/>
      <sz val="12.5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000000"/>
      <name val="Calibri"/>
      <family val="2"/>
      <scheme val="minor"/>
    </font>
    <font>
      <b/>
      <sz val="10"/>
      <name val="Calibri"/>
      <family val="2"/>
    </font>
    <font>
      <b/>
      <sz val="16"/>
      <color theme="0"/>
      <name val="Calibri"/>
      <family val="2"/>
    </font>
    <font>
      <b/>
      <sz val="16"/>
      <name val="Calibri"/>
      <family val="2"/>
    </font>
    <font>
      <sz val="16"/>
      <name val="Calibri"/>
      <family val="2"/>
    </font>
    <font>
      <b/>
      <sz val="12"/>
      <color rgb="FFFF0000"/>
      <name val="Calibri"/>
      <family val="2"/>
    </font>
    <font>
      <b/>
      <sz val="10"/>
      <color theme="1"/>
      <name val="Calibri"/>
      <family val="2"/>
    </font>
    <font>
      <b/>
      <sz val="15"/>
      <color rgb="FF000000"/>
      <name val="Calibri"/>
      <family val="2"/>
      <scheme val="minor"/>
    </font>
    <font>
      <b/>
      <sz val="10"/>
      <color theme="0"/>
      <name val="Arial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name val="Calibri"/>
      <family val="2"/>
    </font>
    <font>
      <b/>
      <sz val="16"/>
      <color rgb="FFFFFF00"/>
      <name val="Calibri"/>
      <family val="2"/>
    </font>
    <font>
      <b/>
      <u/>
      <sz val="16"/>
      <color theme="0"/>
      <name val="Calibri"/>
      <family val="2"/>
    </font>
    <font>
      <b/>
      <sz val="11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rgb="FFBFBFBF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rgb="FF3A3838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249977111117893"/>
        <bgColor rgb="FF333F4F"/>
      </patternFill>
    </fill>
    <fill>
      <patternFill patternType="solid">
        <fgColor theme="1" tint="0.249977111117893"/>
        <bgColor rgb="FFFF000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34998626667073579"/>
        <bgColor indexed="64"/>
      </patternFill>
    </fill>
  </fills>
  <borders count="9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3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44" fontId="0" fillId="0" borderId="0" xfId="2" applyFont="1" applyAlignment="1">
      <alignment horizontal="center"/>
    </xf>
    <xf numFmtId="44" fontId="0" fillId="0" borderId="0" xfId="2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8" fillId="3" borderId="19" xfId="0" applyFont="1" applyFill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8" fillId="3" borderId="27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16" fontId="4" fillId="4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16" fontId="4" fillId="0" borderId="34" xfId="0" applyNumberFormat="1" applyFont="1" applyBorder="1" applyAlignment="1">
      <alignment horizontal="center" vertical="center"/>
    </xf>
    <xf numFmtId="164" fontId="9" fillId="0" borderId="33" xfId="0" applyNumberFormat="1" applyFont="1" applyBorder="1" applyAlignment="1">
      <alignment horizontal="center" vertical="center"/>
    </xf>
    <xf numFmtId="164" fontId="4" fillId="0" borderId="35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39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7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5" fillId="0" borderId="39" xfId="0" applyFont="1" applyBorder="1" applyAlignment="1">
      <alignment vertical="center"/>
    </xf>
    <xf numFmtId="46" fontId="4" fillId="0" borderId="4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45" xfId="0" applyFont="1" applyBorder="1" applyAlignment="1">
      <alignment vertical="center"/>
    </xf>
    <xf numFmtId="0" fontId="4" fillId="3" borderId="44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165" fontId="4" fillId="0" borderId="44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10" fillId="3" borderId="0" xfId="0" applyFont="1" applyFill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42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8" fillId="0" borderId="4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20" fontId="4" fillId="0" borderId="30" xfId="0" applyNumberFormat="1" applyFont="1" applyBorder="1" applyAlignment="1">
      <alignment horizontal="center" vertical="center"/>
    </xf>
    <xf numFmtId="166" fontId="4" fillId="0" borderId="33" xfId="0" applyNumberFormat="1" applyFont="1" applyBorder="1" applyAlignment="1">
      <alignment horizontal="center" vertical="center"/>
    </xf>
    <xf numFmtId="20" fontId="4" fillId="0" borderId="33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20" fontId="4" fillId="6" borderId="33" xfId="0" applyNumberFormat="1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46" fontId="10" fillId="5" borderId="54" xfId="0" applyNumberFormat="1" applyFont="1" applyFill="1" applyBorder="1" applyAlignment="1">
      <alignment horizontal="center" vertical="center"/>
    </xf>
    <xf numFmtId="166" fontId="10" fillId="5" borderId="55" xfId="2" applyNumberFormat="1" applyFont="1" applyFill="1" applyBorder="1" applyAlignment="1">
      <alignment horizontal="center" vertical="center"/>
    </xf>
    <xf numFmtId="46" fontId="10" fillId="7" borderId="55" xfId="0" applyNumberFormat="1" applyFont="1" applyFill="1" applyBorder="1" applyAlignment="1">
      <alignment horizontal="center" vertical="center"/>
    </xf>
    <xf numFmtId="44" fontId="10" fillId="5" borderId="56" xfId="2" applyFont="1" applyFill="1" applyBorder="1" applyAlignment="1">
      <alignment horizontal="center" vertical="center"/>
    </xf>
    <xf numFmtId="46" fontId="5" fillId="3" borderId="0" xfId="0" applyNumberFormat="1" applyFont="1" applyFill="1" applyAlignment="1">
      <alignment horizontal="center" vertical="center"/>
    </xf>
    <xf numFmtId="46" fontId="4" fillId="0" borderId="0" xfId="0" applyNumberFormat="1" applyFont="1" applyAlignment="1">
      <alignment vertical="center"/>
    </xf>
    <xf numFmtId="0" fontId="4" fillId="0" borderId="5" xfId="0" applyFont="1" applyBorder="1" applyAlignment="1">
      <alignment horizontal="center" vertical="center"/>
    </xf>
    <xf numFmtId="4" fontId="4" fillId="0" borderId="44" xfId="0" applyNumberFormat="1" applyFont="1" applyBorder="1" applyAlignment="1">
      <alignment horizontal="center" vertical="center"/>
    </xf>
    <xf numFmtId="166" fontId="15" fillId="4" borderId="36" xfId="0" applyNumberFormat="1" applyFont="1" applyFill="1" applyBorder="1" applyAlignment="1">
      <alignment horizontal="center" vertical="center"/>
    </xf>
    <xf numFmtId="166" fontId="15" fillId="4" borderId="44" xfId="0" applyNumberFormat="1" applyFont="1" applyFill="1" applyBorder="1" applyAlignment="1">
      <alignment horizontal="center" vertical="center"/>
    </xf>
    <xf numFmtId="2" fontId="4" fillId="0" borderId="44" xfId="0" applyNumberFormat="1" applyFont="1" applyBorder="1" applyAlignment="1">
      <alignment horizontal="center" vertical="center"/>
    </xf>
    <xf numFmtId="7" fontId="15" fillId="4" borderId="44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7" fontId="10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8" fillId="0" borderId="33" xfId="0" applyFont="1" applyBorder="1" applyAlignment="1">
      <alignment horizontal="center" vertical="center"/>
    </xf>
    <xf numFmtId="167" fontId="4" fillId="0" borderId="29" xfId="0" applyNumberFormat="1" applyFont="1" applyBorder="1" applyAlignment="1">
      <alignment horizontal="center" vertical="center"/>
    </xf>
    <xf numFmtId="20" fontId="4" fillId="0" borderId="29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6" fillId="0" borderId="60" xfId="0" applyFont="1" applyBorder="1" applyAlignment="1">
      <alignment horizontal="center" vertical="center"/>
    </xf>
    <xf numFmtId="0" fontId="16" fillId="0" borderId="61" xfId="0" applyFont="1" applyBorder="1" applyAlignment="1">
      <alignment vertical="center"/>
    </xf>
    <xf numFmtId="0" fontId="16" fillId="0" borderId="61" xfId="0" applyFont="1" applyBorder="1" applyAlignment="1">
      <alignment horizontal="center" vertical="center"/>
    </xf>
    <xf numFmtId="0" fontId="17" fillId="3" borderId="62" xfId="0" applyFont="1" applyFill="1" applyBorder="1" applyAlignment="1">
      <alignment horizontal="center" vertical="center"/>
    </xf>
    <xf numFmtId="0" fontId="17" fillId="9" borderId="6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8" fillId="0" borderId="66" xfId="0" applyFont="1" applyBorder="1" applyAlignment="1">
      <alignment horizontal="center" vertical="center"/>
    </xf>
    <xf numFmtId="0" fontId="2" fillId="0" borderId="66" xfId="0" applyFont="1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8" borderId="68" xfId="0" applyFill="1" applyBorder="1" applyAlignment="1">
      <alignment vertical="center"/>
    </xf>
    <xf numFmtId="20" fontId="4" fillId="11" borderId="30" xfId="0" applyNumberFormat="1" applyFont="1" applyFill="1" applyBorder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4" fontId="4" fillId="0" borderId="38" xfId="0" applyNumberFormat="1" applyFont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2" fontId="4" fillId="0" borderId="38" xfId="0" applyNumberFormat="1" applyFont="1" applyBorder="1" applyAlignment="1">
      <alignment horizontal="center" vertical="center"/>
    </xf>
    <xf numFmtId="46" fontId="15" fillId="4" borderId="44" xfId="0" applyNumberFormat="1" applyFont="1" applyFill="1" applyBorder="1" applyAlignment="1">
      <alignment horizontal="center" vertical="center"/>
    </xf>
    <xf numFmtId="20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4" fontId="4" fillId="0" borderId="29" xfId="0" applyNumberFormat="1" applyFont="1" applyBorder="1" applyAlignment="1">
      <alignment horizontal="center" vertical="center"/>
    </xf>
    <xf numFmtId="9" fontId="2" fillId="0" borderId="66" xfId="0" applyNumberFormat="1" applyFont="1" applyBorder="1" applyAlignment="1">
      <alignment vertical="center"/>
    </xf>
    <xf numFmtId="164" fontId="4" fillId="0" borderId="29" xfId="0" applyNumberFormat="1" applyFont="1" applyBorder="1" applyAlignment="1">
      <alignment vertical="center"/>
    </xf>
    <xf numFmtId="0" fontId="0" fillId="3" borderId="0" xfId="0" applyFill="1"/>
    <xf numFmtId="0" fontId="0" fillId="0" borderId="0" xfId="0" applyAlignment="1">
      <alignment horizontal="left" vertical="center"/>
    </xf>
    <xf numFmtId="0" fontId="12" fillId="14" borderId="73" xfId="0" applyFont="1" applyFill="1" applyBorder="1" applyAlignment="1">
      <alignment horizontal="center" vertical="center"/>
    </xf>
    <xf numFmtId="0" fontId="12" fillId="15" borderId="73" xfId="0" applyFont="1" applyFill="1" applyBorder="1" applyAlignment="1">
      <alignment horizontal="center" vertical="center"/>
    </xf>
    <xf numFmtId="0" fontId="12" fillId="16" borderId="73" xfId="0" applyFont="1" applyFill="1" applyBorder="1" applyAlignment="1">
      <alignment horizontal="center" vertical="center"/>
    </xf>
    <xf numFmtId="0" fontId="19" fillId="17" borderId="72" xfId="0" applyFont="1" applyFill="1" applyBorder="1" applyAlignment="1">
      <alignment horizontal="left" vertical="center"/>
    </xf>
    <xf numFmtId="0" fontId="23" fillId="17" borderId="73" xfId="0" applyFont="1" applyFill="1" applyBorder="1" applyAlignment="1">
      <alignment horizontal="center" vertical="center"/>
    </xf>
    <xf numFmtId="1" fontId="19" fillId="3" borderId="75" xfId="0" applyNumberFormat="1" applyFont="1" applyFill="1" applyBorder="1" applyAlignment="1">
      <alignment horizontal="center" vertical="center"/>
    </xf>
    <xf numFmtId="0" fontId="19" fillId="3" borderId="73" xfId="0" applyFont="1" applyFill="1" applyBorder="1" applyAlignment="1">
      <alignment horizontal="center" vertical="center"/>
    </xf>
    <xf numFmtId="168" fontId="19" fillId="18" borderId="73" xfId="0" applyNumberFormat="1" applyFont="1" applyFill="1" applyBorder="1" applyAlignment="1">
      <alignment horizontal="center" vertical="center"/>
    </xf>
    <xf numFmtId="168" fontId="19" fillId="3" borderId="73" xfId="0" applyNumberFormat="1" applyFont="1" applyFill="1" applyBorder="1" applyAlignment="1">
      <alignment horizontal="center" vertical="center"/>
    </xf>
    <xf numFmtId="0" fontId="19" fillId="3" borderId="76" xfId="0" applyFont="1" applyFill="1" applyBorder="1" applyAlignment="1">
      <alignment horizontal="left" vertical="center"/>
    </xf>
    <xf numFmtId="0" fontId="19" fillId="17" borderId="77" xfId="0" applyFont="1" applyFill="1" applyBorder="1" applyAlignment="1">
      <alignment horizontal="left" vertical="center"/>
    </xf>
    <xf numFmtId="0" fontId="19" fillId="3" borderId="72" xfId="0" applyFont="1" applyFill="1" applyBorder="1" applyAlignment="1">
      <alignment horizontal="left" vertical="center"/>
    </xf>
    <xf numFmtId="0" fontId="23" fillId="3" borderId="73" xfId="0" applyFont="1" applyFill="1" applyBorder="1" applyAlignment="1">
      <alignment horizontal="center" vertical="center"/>
    </xf>
    <xf numFmtId="0" fontId="19" fillId="3" borderId="72" xfId="0" applyFont="1" applyFill="1" applyBorder="1" applyAlignment="1">
      <alignment horizontal="left" vertical="center" wrapText="1"/>
    </xf>
    <xf numFmtId="0" fontId="23" fillId="3" borderId="73" xfId="0" applyFont="1" applyFill="1" applyBorder="1" applyAlignment="1">
      <alignment horizontal="center" vertical="center" wrapText="1"/>
    </xf>
    <xf numFmtId="0" fontId="19" fillId="3" borderId="78" xfId="0" applyFont="1" applyFill="1" applyBorder="1" applyAlignment="1">
      <alignment horizontal="left" vertical="center"/>
    </xf>
    <xf numFmtId="0" fontId="23" fillId="3" borderId="75" xfId="0" applyFont="1" applyFill="1" applyBorder="1" applyAlignment="1">
      <alignment horizontal="center" vertical="center"/>
    </xf>
    <xf numFmtId="168" fontId="19" fillId="3" borderId="75" xfId="0" applyNumberFormat="1" applyFont="1" applyFill="1" applyBorder="1" applyAlignment="1">
      <alignment horizontal="center" vertical="center"/>
    </xf>
    <xf numFmtId="0" fontId="19" fillId="3" borderId="77" xfId="0" applyFont="1" applyFill="1" applyBorder="1" applyAlignment="1">
      <alignment horizontal="left" vertical="center" wrapText="1"/>
    </xf>
    <xf numFmtId="0" fontId="19" fillId="17" borderId="77" xfId="0" applyFont="1" applyFill="1" applyBorder="1" applyAlignment="1">
      <alignment horizontal="left" vertical="center" wrapText="1"/>
    </xf>
    <xf numFmtId="0" fontId="23" fillId="17" borderId="73" xfId="0" applyFont="1" applyFill="1" applyBorder="1" applyAlignment="1">
      <alignment horizontal="center" vertical="center" wrapText="1"/>
    </xf>
    <xf numFmtId="0" fontId="19" fillId="3" borderId="77" xfId="0" applyFont="1" applyFill="1" applyBorder="1" applyAlignment="1">
      <alignment horizontal="left" vertical="center"/>
    </xf>
    <xf numFmtId="0" fontId="24" fillId="19" borderId="76" xfId="0" applyFont="1" applyFill="1" applyBorder="1" applyAlignment="1">
      <alignment horizontal="left" vertical="center"/>
    </xf>
    <xf numFmtId="49" fontId="25" fillId="10" borderId="79" xfId="0" applyNumberFormat="1" applyFont="1" applyFill="1" applyBorder="1" applyAlignment="1">
      <alignment horizontal="center" vertical="center"/>
    </xf>
    <xf numFmtId="44" fontId="25" fillId="4" borderId="83" xfId="1" applyNumberFormat="1" applyFont="1" applyFill="1" applyBorder="1" applyAlignment="1">
      <alignment vertical="center"/>
    </xf>
    <xf numFmtId="0" fontId="0" fillId="10" borderId="80" xfId="0" applyFill="1" applyBorder="1" applyAlignment="1">
      <alignment horizontal="left" vertical="center"/>
    </xf>
    <xf numFmtId="168" fontId="19" fillId="20" borderId="73" xfId="0" applyNumberFormat="1" applyFont="1" applyFill="1" applyBorder="1" applyAlignment="1">
      <alignment horizontal="center" vertical="center"/>
    </xf>
    <xf numFmtId="0" fontId="19" fillId="17" borderId="72" xfId="0" applyFont="1" applyFill="1" applyBorder="1" applyAlignment="1">
      <alignment horizontal="left" vertical="center" wrapText="1"/>
    </xf>
    <xf numFmtId="0" fontId="19" fillId="17" borderId="78" xfId="0" applyFont="1" applyFill="1" applyBorder="1" applyAlignment="1">
      <alignment horizontal="left" vertical="center"/>
    </xf>
    <xf numFmtId="0" fontId="23" fillId="17" borderId="75" xfId="0" applyFont="1" applyFill="1" applyBorder="1" applyAlignment="1">
      <alignment horizontal="center" vertical="center"/>
    </xf>
    <xf numFmtId="0" fontId="0" fillId="0" borderId="84" xfId="0" applyBorder="1"/>
    <xf numFmtId="0" fontId="1" fillId="21" borderId="85" xfId="0" applyFont="1" applyFill="1" applyBorder="1" applyAlignment="1">
      <alignment horizontal="center"/>
    </xf>
    <xf numFmtId="0" fontId="26" fillId="21" borderId="63" xfId="0" applyFont="1" applyFill="1" applyBorder="1" applyAlignment="1">
      <alignment horizontal="center" wrapText="1"/>
    </xf>
    <xf numFmtId="0" fontId="26" fillId="21" borderId="86" xfId="0" applyFont="1" applyFill="1" applyBorder="1" applyAlignment="1">
      <alignment horizontal="center" wrapText="1"/>
    </xf>
    <xf numFmtId="0" fontId="26" fillId="21" borderId="2" xfId="0" applyFont="1" applyFill="1" applyBorder="1" applyAlignment="1">
      <alignment horizontal="center" wrapText="1"/>
    </xf>
    <xf numFmtId="0" fontId="0" fillId="22" borderId="2" xfId="0" applyFill="1" applyBorder="1"/>
    <xf numFmtId="0" fontId="27" fillId="17" borderId="87" xfId="0" applyFont="1" applyFill="1" applyBorder="1" applyAlignment="1">
      <alignment horizontal="center" vertical="center"/>
    </xf>
    <xf numFmtId="169" fontId="2" fillId="0" borderId="73" xfId="0" applyNumberFormat="1" applyFont="1" applyBorder="1" applyAlignment="1">
      <alignment horizontal="center"/>
    </xf>
    <xf numFmtId="169" fontId="28" fillId="23" borderId="73" xfId="0" applyNumberFormat="1" applyFont="1" applyFill="1" applyBorder="1" applyAlignment="1">
      <alignment horizontal="center"/>
    </xf>
    <xf numFmtId="0" fontId="28" fillId="0" borderId="73" xfId="0" applyFont="1" applyBorder="1" applyAlignment="1">
      <alignment horizontal="center"/>
    </xf>
    <xf numFmtId="0" fontId="0" fillId="22" borderId="0" xfId="0" applyFill="1"/>
    <xf numFmtId="0" fontId="8" fillId="3" borderId="87" xfId="0" applyFont="1" applyFill="1" applyBorder="1" applyAlignment="1">
      <alignment horizontal="center" vertical="center"/>
    </xf>
    <xf numFmtId="0" fontId="27" fillId="3" borderId="87" xfId="0" applyFont="1" applyFill="1" applyBorder="1" applyAlignment="1">
      <alignment horizontal="center" vertical="center"/>
    </xf>
    <xf numFmtId="169" fontId="2" fillId="3" borderId="73" xfId="0" applyNumberFormat="1" applyFont="1" applyFill="1" applyBorder="1" applyAlignment="1">
      <alignment horizontal="center"/>
    </xf>
    <xf numFmtId="0" fontId="27" fillId="17" borderId="87" xfId="0" applyFont="1" applyFill="1" applyBorder="1" applyAlignment="1">
      <alignment horizontal="center" vertical="center" wrapText="1"/>
    </xf>
    <xf numFmtId="0" fontId="0" fillId="22" borderId="13" xfId="0" applyFill="1" applyBorder="1"/>
    <xf numFmtId="0" fontId="0" fillId="22" borderId="14" xfId="0" applyFill="1" applyBorder="1"/>
    <xf numFmtId="0" fontId="28" fillId="0" borderId="0" xfId="0" applyFont="1"/>
    <xf numFmtId="0" fontId="29" fillId="24" borderId="65" xfId="0" applyFont="1" applyFill="1" applyBorder="1" applyAlignment="1">
      <alignment horizontal="center"/>
    </xf>
    <xf numFmtId="0" fontId="0" fillId="22" borderId="3" xfId="0" applyFill="1" applyBorder="1"/>
    <xf numFmtId="0" fontId="28" fillId="0" borderId="66" xfId="0" applyFont="1" applyBorder="1"/>
    <xf numFmtId="0" fontId="0" fillId="22" borderId="5" xfId="0" applyFill="1" applyBorder="1"/>
    <xf numFmtId="0" fontId="29" fillId="24" borderId="88" xfId="0" applyFont="1" applyFill="1" applyBorder="1" applyAlignment="1">
      <alignment horizontal="center"/>
    </xf>
    <xf numFmtId="0" fontId="10" fillId="3" borderId="66" xfId="0" applyFont="1" applyFill="1" applyBorder="1" applyAlignment="1">
      <alignment horizontal="left" vertical="center"/>
    </xf>
    <xf numFmtId="0" fontId="30" fillId="24" borderId="66" xfId="0" applyFont="1" applyFill="1" applyBorder="1" applyAlignment="1">
      <alignment horizontal="center"/>
    </xf>
    <xf numFmtId="0" fontId="31" fillId="0" borderId="73" xfId="0" applyFont="1" applyBorder="1"/>
    <xf numFmtId="0" fontId="0" fillId="0" borderId="73" xfId="0" applyBorder="1"/>
    <xf numFmtId="0" fontId="0" fillId="22" borderId="89" xfId="0" applyFill="1" applyBorder="1"/>
    <xf numFmtId="0" fontId="0" fillId="22" borderId="15" xfId="0" applyFill="1" applyBorder="1"/>
    <xf numFmtId="16" fontId="32" fillId="0" borderId="90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vertical="center"/>
    </xf>
    <xf numFmtId="164" fontId="4" fillId="0" borderId="30" xfId="0" applyNumberFormat="1" applyFont="1" applyBorder="1" applyAlignment="1">
      <alignment horizontal="center" vertical="center"/>
    </xf>
    <xf numFmtId="170" fontId="4" fillId="0" borderId="33" xfId="0" applyNumberFormat="1" applyFont="1" applyBorder="1" applyAlignment="1">
      <alignment horizontal="center" vertical="center"/>
    </xf>
    <xf numFmtId="166" fontId="10" fillId="5" borderId="56" xfId="2" applyNumberFormat="1" applyFont="1" applyFill="1" applyBorder="1" applyAlignment="1">
      <alignment horizontal="center" vertical="center"/>
    </xf>
    <xf numFmtId="164" fontId="4" fillId="25" borderId="33" xfId="0" applyNumberFormat="1" applyFont="1" applyFill="1" applyBorder="1" applyAlignment="1">
      <alignment horizontal="center" vertical="center"/>
    </xf>
    <xf numFmtId="164" fontId="4" fillId="3" borderId="33" xfId="0" applyNumberFormat="1" applyFont="1" applyFill="1" applyBorder="1" applyAlignment="1">
      <alignment horizontal="center" vertical="center"/>
    </xf>
    <xf numFmtId="164" fontId="4" fillId="3" borderId="30" xfId="0" applyNumberFormat="1" applyFont="1" applyFill="1" applyBorder="1" applyAlignment="1">
      <alignment horizontal="center" vertical="center"/>
    </xf>
    <xf numFmtId="20" fontId="4" fillId="3" borderId="30" xfId="0" applyNumberFormat="1" applyFont="1" applyFill="1" applyBorder="1" applyAlignment="1">
      <alignment horizontal="center" vertical="center"/>
    </xf>
    <xf numFmtId="0" fontId="35" fillId="0" borderId="66" xfId="0" applyFont="1" applyBorder="1"/>
    <xf numFmtId="0" fontId="13" fillId="10" borderId="10" xfId="0" applyFont="1" applyFill="1" applyBorder="1" applyAlignment="1">
      <alignment horizontal="center" vertical="center"/>
    </xf>
    <xf numFmtId="0" fontId="13" fillId="10" borderId="39" xfId="0" applyFont="1" applyFill="1" applyBorder="1" applyAlignment="1">
      <alignment horizontal="center" vertical="center"/>
    </xf>
    <xf numFmtId="0" fontId="13" fillId="10" borderId="9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10" fillId="5" borderId="36" xfId="0" applyFont="1" applyFill="1" applyBorder="1" applyAlignment="1">
      <alignment horizontal="center" vertical="center"/>
    </xf>
    <xf numFmtId="0" fontId="10" fillId="5" borderId="37" xfId="0" applyFont="1" applyFill="1" applyBorder="1" applyAlignment="1">
      <alignment horizontal="center" vertical="center"/>
    </xf>
    <xf numFmtId="0" fontId="10" fillId="5" borderId="38" xfId="0" applyFont="1" applyFill="1" applyBorder="1" applyAlignment="1">
      <alignment horizontal="center" vertical="center"/>
    </xf>
    <xf numFmtId="0" fontId="14" fillId="8" borderId="36" xfId="0" applyFont="1" applyFill="1" applyBorder="1" applyAlignment="1">
      <alignment horizontal="center" vertical="center"/>
    </xf>
    <xf numFmtId="0" fontId="14" fillId="8" borderId="37" xfId="0" applyFont="1" applyFill="1" applyBorder="1" applyAlignment="1">
      <alignment horizontal="center" vertical="center"/>
    </xf>
    <xf numFmtId="0" fontId="14" fillId="8" borderId="38" xfId="0" applyFont="1" applyFill="1" applyBorder="1" applyAlignment="1">
      <alignment horizontal="center" vertical="center"/>
    </xf>
    <xf numFmtId="17" fontId="13" fillId="10" borderId="63" xfId="0" applyNumberFormat="1" applyFont="1" applyFill="1" applyBorder="1" applyAlignment="1">
      <alignment horizontal="center" vertical="center"/>
    </xf>
    <xf numFmtId="17" fontId="13" fillId="10" borderId="64" xfId="0" applyNumberFormat="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8" fillId="11" borderId="23" xfId="0" applyFont="1" applyFill="1" applyBorder="1" applyAlignment="1">
      <alignment horizontal="center" vertical="center"/>
    </xf>
    <xf numFmtId="0" fontId="8" fillId="11" borderId="30" xfId="0" applyFont="1" applyFill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18" fillId="0" borderId="65" xfId="0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3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46" fontId="4" fillId="0" borderId="36" xfId="0" applyNumberFormat="1" applyFont="1" applyBorder="1" applyAlignment="1">
      <alignment horizontal="center" vertical="center"/>
    </xf>
    <xf numFmtId="46" fontId="4" fillId="0" borderId="38" xfId="0" applyNumberFormat="1" applyFont="1" applyBorder="1" applyAlignment="1">
      <alignment horizontal="center" vertical="center"/>
    </xf>
    <xf numFmtId="4" fontId="4" fillId="0" borderId="36" xfId="0" applyNumberFormat="1" applyFont="1" applyBorder="1" applyAlignment="1">
      <alignment horizontal="center" vertical="center"/>
    </xf>
    <xf numFmtId="4" fontId="4" fillId="0" borderId="38" xfId="0" applyNumberFormat="1" applyFont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65" fontId="4" fillId="0" borderId="36" xfId="0" applyNumberFormat="1" applyFont="1" applyBorder="1" applyAlignment="1">
      <alignment horizontal="center" vertical="center"/>
    </xf>
    <xf numFmtId="165" fontId="4" fillId="0" borderId="38" xfId="0" applyNumberFormat="1" applyFont="1" applyBorder="1" applyAlignment="1">
      <alignment horizontal="center" vertical="center"/>
    </xf>
    <xf numFmtId="2" fontId="4" fillId="0" borderId="36" xfId="0" applyNumberFormat="1" applyFont="1" applyBorder="1" applyAlignment="1">
      <alignment horizontal="center" vertical="center"/>
    </xf>
    <xf numFmtId="2" fontId="4" fillId="0" borderId="38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5" fillId="10" borderId="80" xfId="0" applyFont="1" applyFill="1" applyBorder="1" applyAlignment="1">
      <alignment horizontal="center" vertical="center"/>
    </xf>
    <xf numFmtId="0" fontId="25" fillId="10" borderId="81" xfId="0" applyFont="1" applyFill="1" applyBorder="1" applyAlignment="1">
      <alignment horizontal="center" vertical="center"/>
    </xf>
    <xf numFmtId="0" fontId="25" fillId="10" borderId="82" xfId="0" applyFont="1" applyFill="1" applyBorder="1" applyAlignment="1">
      <alignment horizontal="center" vertical="center"/>
    </xf>
    <xf numFmtId="0" fontId="21" fillId="12" borderId="69" xfId="0" applyFont="1" applyFill="1" applyBorder="1" applyAlignment="1">
      <alignment horizontal="center" vertical="center"/>
    </xf>
    <xf numFmtId="0" fontId="21" fillId="12" borderId="70" xfId="0" applyFont="1" applyFill="1" applyBorder="1" applyAlignment="1">
      <alignment horizontal="center" vertical="center"/>
    </xf>
    <xf numFmtId="0" fontId="22" fillId="13" borderId="70" xfId="0" applyFont="1" applyFill="1" applyBorder="1" applyAlignment="1">
      <alignment vertical="center"/>
    </xf>
    <xf numFmtId="0" fontId="22" fillId="13" borderId="71" xfId="0" applyFont="1" applyFill="1" applyBorder="1" applyAlignment="1">
      <alignment vertical="center"/>
    </xf>
    <xf numFmtId="0" fontId="22" fillId="13" borderId="72" xfId="0" applyFont="1" applyFill="1" applyBorder="1" applyAlignment="1">
      <alignment vertical="center"/>
    </xf>
    <xf numFmtId="0" fontId="22" fillId="13" borderId="73" xfId="0" applyFont="1" applyFill="1" applyBorder="1" applyAlignment="1">
      <alignment vertical="center"/>
    </xf>
    <xf numFmtId="0" fontId="22" fillId="13" borderId="74" xfId="0" applyFont="1" applyFill="1" applyBorder="1" applyAlignment="1">
      <alignment vertical="center"/>
    </xf>
    <xf numFmtId="0" fontId="20" fillId="12" borderId="69" xfId="0" applyFont="1" applyFill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8" fillId="11" borderId="33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4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vertical="center"/>
    </xf>
    <xf numFmtId="0" fontId="4" fillId="0" borderId="53" xfId="0" applyFont="1" applyBorder="1" applyAlignment="1">
      <alignment vertical="center"/>
    </xf>
    <xf numFmtId="0" fontId="4" fillId="4" borderId="41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16">
    <dxf>
      <font>
        <color rgb="FFFFFF00"/>
      </font>
      <fill>
        <patternFill patternType="solid">
          <bgColor rgb="FFFF0000"/>
        </patternFill>
      </fill>
    </dxf>
    <dxf>
      <font>
        <color auto="1"/>
      </font>
      <fill>
        <patternFill patternType="solid">
          <bgColor rgb="FF00B050"/>
        </patternFill>
      </fill>
    </dxf>
    <dxf>
      <fill>
        <patternFill patternType="solid">
          <bgColor theme="0"/>
        </patternFill>
      </fill>
      <alignment horizontal="left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68" formatCode="_-[$R$-416]\ * #,##0.00_-;\-[$R$-416]\ * #,##0.00_-;_-[$R$-416]\ * &quot;-&quot;??_-;_-@"/>
      <fill>
        <patternFill patternType="solid">
          <bgColor theme="0"/>
        </patternFill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0"/>
      </font>
      <numFmt numFmtId="168" formatCode="_-[$R$-416]\ * #,##0.00_-;\-[$R$-416]\ * #,##0.00_-;_-[$R$-416]\ * &quot;-&quot;??_-;_-@"/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0"/>
        <color auto="1"/>
        <family val="2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0"/>
        <color auto="1"/>
        <family val="2"/>
      </font>
      <numFmt numFmtId="1" formatCode="0"/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u val="none"/>
        <sz val="12"/>
        <color rgb="FFFF0000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0"/>
        <color auto="1"/>
        <name val="Calibri"/>
        <scheme val="none"/>
      </font>
      <fill>
        <patternFill patternType="solid">
          <bgColor theme="0"/>
        </patternFill>
      </fill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0"/>
        </patternFill>
      </fill>
      <alignment horizontal="left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68" formatCode="_-[$R$-416]\ * #,##0.00_-;\-[$R$-416]\ * #,##0.00_-;_-[$R$-416]\ * &quot;-&quot;??_-;_-@"/>
      <fill>
        <patternFill patternType="solid">
          <bgColor theme="0"/>
        </patternFill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0"/>
      </font>
      <numFmt numFmtId="168" formatCode="_-[$R$-416]\ * #,##0.00_-;\-[$R$-416]\ * #,##0.00_-;_-[$R$-416]\ * &quot;-&quot;??_-;_-@"/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0"/>
        <color auto="1"/>
        <family val="2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0"/>
        <color auto="1"/>
        <family val="2"/>
      </font>
      <numFmt numFmtId="1" formatCode="0"/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u val="none"/>
        <sz val="12"/>
        <color rgb="FFFF0000"/>
        <name val="Calibri"/>
        <scheme val="none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0"/>
        <color auto="1"/>
        <name val="Calibri"/>
        <scheme val="none"/>
      </font>
      <fill>
        <patternFill patternType="solid">
          <bgColor theme="0"/>
        </patternFill>
      </fill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Invisible" pivot="0" table="0" count="0" xr9:uid="{C21731DE-A66A-41F1-AE56-F4E2B7A892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22" Type="http://www.wps.cn/officeDocument/2023/relationships/customStorage" Target="customStorage/customStorag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GRAFICO!$C$2</c:f>
              <c:strCache>
                <c:ptCount val="1"/>
                <c:pt idx="0">
                  <c:v>HR ATUAL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GRAFICO!$B$3:$B$10</c:f>
              <c:numCache>
                <c:formatCode>General</c:formatCode>
                <c:ptCount val="8"/>
              </c:numCache>
            </c:numRef>
          </c:cat>
          <c:val>
            <c:numRef>
              <c:f>GRAFICO!$C$3:$C$10</c:f>
              <c:numCache>
                <c:formatCode>[h]:mm</c:formatCode>
                <c:ptCount val="8"/>
                <c:pt idx="0">
                  <c:v>8.1854166666666668</c:v>
                </c:pt>
                <c:pt idx="1">
                  <c:v>8.0812500000000007</c:v>
                </c:pt>
                <c:pt idx="2">
                  <c:v>5.3090277777777777</c:v>
                </c:pt>
                <c:pt idx="3">
                  <c:v>6.3972222222222221</c:v>
                </c:pt>
                <c:pt idx="4">
                  <c:v>4.9430555555555555</c:v>
                </c:pt>
                <c:pt idx="5">
                  <c:v>9.4868055555555557</c:v>
                </c:pt>
                <c:pt idx="6">
                  <c:v>9.8270833333333325</c:v>
                </c:pt>
                <c:pt idx="7">
                  <c:v>7.1736111111111107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D-437E-A101-96F6C8BB4D36}"/>
            </c:ext>
          </c:extLst>
        </c:ser>
        <c:ser>
          <c:idx val="2"/>
          <c:order val="1"/>
          <c:tx>
            <c:strRef>
              <c:f>GRAFICO!$E$2</c:f>
              <c:strCache>
                <c:ptCount val="1"/>
                <c:pt idx="0">
                  <c:v>EXTRAS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GRAFICO!$B$3:$B$10</c:f>
              <c:numCache>
                <c:formatCode>General</c:formatCode>
                <c:ptCount val="8"/>
              </c:numCache>
            </c:numRef>
          </c:cat>
          <c:val>
            <c:numRef>
              <c:f>GRAFICO!$E$3:$E$10</c:f>
              <c:numCache>
                <c:formatCode>[h]:mm</c:formatCode>
                <c:ptCount val="8"/>
                <c:pt idx="0">
                  <c:v>-0.98125000000000284</c:v>
                </c:pt>
                <c:pt idx="1">
                  <c:v>-1.0854166666666689</c:v>
                </c:pt>
                <c:pt idx="2">
                  <c:v>-3.8576388888888919</c:v>
                </c:pt>
                <c:pt idx="3">
                  <c:v>-2.7694444444444475</c:v>
                </c:pt>
                <c:pt idx="4">
                  <c:v>-4.2236111111111141</c:v>
                </c:pt>
                <c:pt idx="5">
                  <c:v>0.32013888888888609</c:v>
                </c:pt>
                <c:pt idx="6">
                  <c:v>0.66041666666666288</c:v>
                </c:pt>
                <c:pt idx="7">
                  <c:v>-1.9930555555555589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7D-437E-A101-96F6C8BB4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225480"/>
        <c:axId val="333227280"/>
      </c:barChart>
      <c:catAx>
        <c:axId val="333225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227280"/>
        <c:crosses val="autoZero"/>
        <c:auto val="1"/>
        <c:lblAlgn val="ctr"/>
        <c:lblOffset val="100"/>
        <c:noMultiLvlLbl val="0"/>
      </c:catAx>
      <c:valAx>
        <c:axId val="3332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[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32254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435430</xdr:colOff>
      <xdr:row>0</xdr:row>
      <xdr:rowOff>13609</xdr:rowOff>
    </xdr:from>
    <xdr:to>
      <xdr:col>3</xdr:col>
      <xdr:colOff>149680</xdr:colOff>
      <xdr:row>7</xdr:row>
      <xdr:rowOff>27216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CCB3523-C284-EEA0-0574-B3E1EBD86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430" y="13609"/>
          <a:ext cx="1360714" cy="1360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6</xdr:col>
      <xdr:colOff>83345</xdr:colOff>
      <xdr:row>1</xdr:row>
      <xdr:rowOff>47625</xdr:rowOff>
    </xdr:from>
    <xdr:to>
      <xdr:col>12</xdr:col>
      <xdr:colOff>642937</xdr:colOff>
      <xdr:row>13</xdr:row>
      <xdr:rowOff>273844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14F10A-CE23-7931-1601-CA50B9034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47626</xdr:rowOff>
    </xdr:from>
    <xdr:to>
      <xdr:col>3</xdr:col>
      <xdr:colOff>188595</xdr:colOff>
      <xdr:row>7</xdr:row>
      <xdr:rowOff>173807</xdr:rowOff>
    </xdr:to>
    <xdr:pic>
      <xdr:nvPicPr>
        <xdr:cNvPr id="3" name="Imagem 2" descr="C:\Users\USUARIO\Pictures\Logo Marshals GRANDE.jp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6700" y="47625"/>
          <a:ext cx="1569720" cy="1487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13" displayName="Table_13" ref="A3:G24" totalsRowShown="0">
  <sortState xmlns:xlrd2="http://schemas.microsoft.com/office/spreadsheetml/2017/richdata2" ref="A4:G24">
    <sortCondition ref="A19:A24"/>
  </sortState>
  <tableColumns count="7">
    <tableColumn id="1" xr3:uid="{00000000-0010-0000-0000-000001000000}" name="NOME DO AGENTE " dataDxfId="15"/>
    <tableColumn id="7" xr3:uid="{00000000-0010-0000-0000-000007000000}" name="NOME GUERRA" dataDxfId="14"/>
    <tableColumn id="2" xr3:uid="{00000000-0010-0000-0000-000002000000}" name="QTDE." dataDxfId="13"/>
    <tableColumn id="3" xr3:uid="{00000000-0010-0000-0000-000003000000}" name="PAGAR " dataDxfId="12"/>
    <tableColumn id="4" xr3:uid="{00000000-0010-0000-0000-000004000000}" name="DIÁRIA" dataDxfId="11"/>
    <tableColumn id="5" xr3:uid="{00000000-0010-0000-0000-000005000000}" name="À PAGAR" dataDxfId="10">
      <calculatedColumnFormula>Table_13[[#This Row],[PAGAR ]]*Table_13[[#This Row],[DIÁRIA]]</calculatedColumnFormula>
    </tableColumn>
    <tableColumn id="6" xr3:uid="{00000000-0010-0000-0000-000006000000}" name="OBSERVAÇÃO" dataDxfId="9"/>
  </tableColumns>
  <tableStyleInfo name="TableStyleLight15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132" displayName="Table_132" ref="A3:G19" totalsRowShown="0">
  <sortState xmlns:xlrd2="http://schemas.microsoft.com/office/spreadsheetml/2017/richdata2" ref="A4:G19">
    <sortCondition descending="1" ref="F4:F19"/>
  </sortState>
  <tableColumns count="7">
    <tableColumn id="1" xr3:uid="{00000000-0010-0000-0100-000001000000}" name="NOME DO AGENTE " dataDxfId="8"/>
    <tableColumn id="7" xr3:uid="{00000000-0010-0000-0100-000007000000}" name="NOME GUERRA" dataDxfId="7"/>
    <tableColumn id="2" xr3:uid="{00000000-0010-0000-0100-000002000000}" name="QTDE." dataDxfId="6"/>
    <tableColumn id="3" xr3:uid="{00000000-0010-0000-0100-000003000000}" name="PAGAR " dataDxfId="5"/>
    <tableColumn id="4" xr3:uid="{00000000-0010-0000-0100-000004000000}" name="DIÁRIA" dataDxfId="4"/>
    <tableColumn id="5" xr3:uid="{00000000-0010-0000-0100-000005000000}" name="À PAGAR" dataDxfId="3">
      <calculatedColumnFormula>Table_132[[#This Row],[PAGAR ]]*Table_132[[#This Row],[DIÁRIA]]</calculatedColumnFormula>
    </tableColumn>
    <tableColumn id="6" xr3:uid="{00000000-0010-0000-0100-000006000000}" name="OBSERVAÇÃO" dataDxfId="2"/>
  </tableColumns>
  <tableStyleInfo name="TableStyleLight1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G100"/>
  <sheetViews>
    <sheetView showGridLines="0" tabSelected="1" zoomScale="70" zoomScaleNormal="70" workbookViewId="0">
      <selection activeCell="H19" sqref="H19"/>
    </sheetView>
  </sheetViews>
  <sheetFormatPr defaultColWidth="14.42578125" defaultRowHeight="15"/>
  <cols>
    <col min="1" max="1" width="10.7109375" style="8" customWidth="1"/>
    <col min="2" max="2" width="0.5703125" style="9" customWidth="1"/>
    <col min="3" max="14" width="13.28515625" style="8" customWidth="1"/>
    <col min="15" max="15" width="14.42578125" style="8" customWidth="1"/>
    <col min="16" max="16" width="13.28515625" style="8" customWidth="1"/>
    <col min="17" max="19" width="11.7109375" style="8" customWidth="1"/>
    <col min="20" max="20" width="0.7109375" style="8" customWidth="1"/>
    <col min="21" max="21" width="16.140625" style="8" hidden="1" customWidth="1"/>
    <col min="22" max="22" width="23" style="8" hidden="1" customWidth="1"/>
    <col min="23" max="23" width="23.140625" style="8" hidden="1" customWidth="1"/>
    <col min="24" max="24" width="19.42578125" style="8" hidden="1" customWidth="1"/>
    <col min="25" max="25" width="23" style="8" hidden="1" customWidth="1"/>
    <col min="26" max="26" width="32" style="8" hidden="1" customWidth="1"/>
    <col min="27" max="27" width="19.42578125" style="8" hidden="1" customWidth="1"/>
    <col min="28" max="28" width="35.42578125" style="8" hidden="1" customWidth="1"/>
    <col min="29" max="29" width="40.42578125" style="8" customWidth="1"/>
    <col min="30" max="30" width="14.5703125" style="8" customWidth="1"/>
    <col min="31" max="16384" width="14.42578125" style="8"/>
  </cols>
  <sheetData>
    <row r="1" spans="1:33">
      <c r="A1" s="10"/>
      <c r="B1" s="11"/>
      <c r="C1" s="12"/>
      <c r="D1" s="13"/>
      <c r="E1" s="207" t="s">
        <v>0</v>
      </c>
      <c r="F1" s="208"/>
      <c r="G1" s="12" t="s">
        <v>150</v>
      </c>
      <c r="H1" s="12"/>
      <c r="I1" s="12"/>
      <c r="J1" s="14"/>
      <c r="K1" s="14"/>
      <c r="L1" s="12"/>
      <c r="M1" s="12"/>
      <c r="N1" s="12"/>
      <c r="O1" s="12"/>
      <c r="P1" s="12"/>
      <c r="Q1" s="12"/>
      <c r="R1" s="12"/>
      <c r="S1" s="66"/>
      <c r="T1" s="67"/>
      <c r="U1" s="67"/>
      <c r="V1" s="67"/>
      <c r="W1" s="17"/>
      <c r="X1" s="17"/>
      <c r="Y1" s="17"/>
      <c r="Z1" s="17"/>
      <c r="AA1" s="17"/>
      <c r="AB1" s="17"/>
      <c r="AC1" s="107" t="s">
        <v>1</v>
      </c>
      <c r="AD1" s="118">
        <v>0.66666666666666663</v>
      </c>
      <c r="AE1" s="125">
        <v>6.9444444444444404E-4</v>
      </c>
      <c r="AF1" s="8" t="s">
        <v>2</v>
      </c>
      <c r="AG1" s="125">
        <v>0.75</v>
      </c>
    </row>
    <row r="2" spans="1:33">
      <c r="A2" s="15"/>
      <c r="B2" s="16"/>
      <c r="C2" s="17"/>
      <c r="D2" s="18"/>
      <c r="E2" s="15"/>
      <c r="F2" s="17"/>
      <c r="G2" s="17"/>
      <c r="H2" s="17"/>
      <c r="I2" s="17"/>
      <c r="J2" s="19"/>
      <c r="K2" s="19"/>
      <c r="L2" s="17"/>
      <c r="M2" s="17"/>
      <c r="N2" s="17"/>
      <c r="O2" s="17"/>
      <c r="P2" s="17"/>
      <c r="Q2" s="17"/>
      <c r="R2" s="17"/>
      <c r="S2" s="21"/>
      <c r="T2" s="67"/>
      <c r="U2" s="67"/>
      <c r="V2" s="67"/>
      <c r="W2" s="17"/>
      <c r="X2" s="17"/>
      <c r="Y2" s="17"/>
      <c r="Z2" s="17"/>
      <c r="AA2" s="17"/>
      <c r="AB2" s="17"/>
      <c r="AC2" s="108"/>
      <c r="AD2" s="126">
        <v>40</v>
      </c>
      <c r="AF2" s="8" t="s">
        <v>3</v>
      </c>
      <c r="AG2" s="125">
        <v>0.749305555555556</v>
      </c>
    </row>
    <row r="3" spans="1:33">
      <c r="A3" s="15"/>
      <c r="B3" s="20"/>
      <c r="C3" s="17"/>
      <c r="D3" s="21"/>
      <c r="E3" s="209" t="s">
        <v>4</v>
      </c>
      <c r="F3" s="210"/>
      <c r="G3" s="17"/>
      <c r="H3" s="17"/>
      <c r="I3" s="17"/>
      <c r="J3" s="17"/>
      <c r="K3" s="17"/>
      <c r="L3" s="17"/>
      <c r="M3" s="17"/>
      <c r="N3" s="68" t="s">
        <v>5</v>
      </c>
      <c r="O3" s="17"/>
      <c r="P3" s="68"/>
      <c r="Q3" s="17"/>
      <c r="R3" s="68"/>
      <c r="S3" s="21"/>
      <c r="T3" s="67"/>
      <c r="U3" s="67"/>
      <c r="V3" s="67"/>
      <c r="W3" s="17"/>
      <c r="X3" s="17"/>
      <c r="Y3" s="17"/>
      <c r="Z3" s="17"/>
      <c r="AA3" s="17"/>
      <c r="AB3" s="17"/>
      <c r="AC3" s="109" t="s">
        <v>7</v>
      </c>
      <c r="AD3" s="126">
        <v>0</v>
      </c>
      <c r="AF3" s="8" t="s">
        <v>8</v>
      </c>
      <c r="AG3" s="125">
        <v>0</v>
      </c>
    </row>
    <row r="4" spans="1:33">
      <c r="A4" s="15"/>
      <c r="B4" s="20"/>
      <c r="C4" s="17"/>
      <c r="D4" s="21"/>
      <c r="E4" s="211" t="s">
        <v>9</v>
      </c>
      <c r="F4" s="212"/>
      <c r="G4" s="23"/>
      <c r="H4" s="23"/>
      <c r="I4" s="23"/>
      <c r="J4" s="23"/>
      <c r="K4" s="23"/>
      <c r="L4" s="23"/>
      <c r="M4" s="23"/>
      <c r="N4" s="69" t="s">
        <v>10</v>
      </c>
      <c r="O4" s="23"/>
      <c r="P4" s="69" t="s">
        <v>12</v>
      </c>
      <c r="Q4" s="23" t="s">
        <v>13</v>
      </c>
      <c r="R4" s="69"/>
      <c r="S4" s="70"/>
      <c r="T4" s="67"/>
      <c r="U4" s="67"/>
      <c r="V4" s="67"/>
      <c r="W4" s="17"/>
      <c r="X4" s="98"/>
      <c r="Y4" s="17"/>
      <c r="Z4" s="17"/>
      <c r="AA4" s="17"/>
      <c r="AB4" s="17"/>
      <c r="AC4" s="109" t="s">
        <v>14</v>
      </c>
      <c r="AD4" s="17"/>
    </row>
    <row r="5" spans="1:33" ht="15.75" customHeight="1">
      <c r="A5" s="24"/>
      <c r="B5" s="16"/>
      <c r="C5" s="25"/>
      <c r="D5" s="26"/>
      <c r="E5" s="213" t="s">
        <v>15</v>
      </c>
      <c r="F5" s="214"/>
      <c r="G5" s="217" t="s">
        <v>16</v>
      </c>
      <c r="H5" s="218"/>
      <c r="I5" s="218"/>
      <c r="J5" s="218"/>
      <c r="K5" s="219"/>
      <c r="L5" s="201" t="s">
        <v>151</v>
      </c>
      <c r="M5" s="202"/>
      <c r="N5" s="202"/>
      <c r="O5" s="202"/>
      <c r="P5" s="202"/>
      <c r="Q5" s="202"/>
      <c r="R5" s="202"/>
      <c r="S5" s="203"/>
      <c r="T5" s="67"/>
      <c r="U5" s="67"/>
      <c r="V5" s="67"/>
      <c r="W5" s="17"/>
      <c r="X5" s="98"/>
      <c r="Y5" s="17"/>
      <c r="Z5" s="17"/>
      <c r="AA5" s="17"/>
      <c r="AB5" s="17"/>
      <c r="AC5" s="110"/>
      <c r="AD5" s="17"/>
    </row>
    <row r="6" spans="1:33" ht="15" customHeight="1">
      <c r="A6" s="15"/>
      <c r="B6" s="16"/>
      <c r="C6" s="17"/>
      <c r="D6" s="21"/>
      <c r="E6" s="215"/>
      <c r="F6" s="216"/>
      <c r="G6" s="220"/>
      <c r="H6" s="221"/>
      <c r="I6" s="221"/>
      <c r="J6" s="221"/>
      <c r="K6" s="222"/>
      <c r="L6" s="204"/>
      <c r="M6" s="205"/>
      <c r="N6" s="205"/>
      <c r="O6" s="205"/>
      <c r="P6" s="205"/>
      <c r="Q6" s="205"/>
      <c r="R6" s="205"/>
      <c r="S6" s="206"/>
      <c r="T6" s="67"/>
      <c r="U6" s="67"/>
      <c r="V6" s="67"/>
      <c r="W6" s="17"/>
      <c r="X6" s="98"/>
      <c r="Y6" s="17"/>
      <c r="Z6" s="17"/>
      <c r="AA6" s="17"/>
      <c r="AB6" s="17"/>
      <c r="AC6" s="111" t="s">
        <v>17</v>
      </c>
      <c r="AD6" s="17">
        <v>9</v>
      </c>
    </row>
    <row r="7" spans="1:33" ht="15" customHeight="1">
      <c r="A7" s="15"/>
      <c r="B7" s="20"/>
      <c r="C7" s="17"/>
      <c r="D7" s="21"/>
      <c r="E7" s="15" t="s">
        <v>18</v>
      </c>
      <c r="F7" s="2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21"/>
      <c r="T7"/>
      <c r="U7" s="17" t="s">
        <v>19</v>
      </c>
      <c r="V7" s="99">
        <v>38</v>
      </c>
      <c r="W7" s="17"/>
      <c r="X7" s="98"/>
      <c r="Y7" s="17"/>
      <c r="Z7" s="17"/>
      <c r="AA7" s="17"/>
      <c r="AB7" s="17"/>
      <c r="AC7" s="229">
        <v>44620</v>
      </c>
      <c r="AD7" s="17"/>
    </row>
    <row r="8" spans="1:33" ht="15" customHeight="1">
      <c r="A8" s="28"/>
      <c r="B8" s="29"/>
      <c r="C8" s="30"/>
      <c r="D8" s="31"/>
      <c r="E8" s="28" t="s">
        <v>20</v>
      </c>
      <c r="F8" s="32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1"/>
      <c r="T8" s="17"/>
      <c r="U8" s="17" t="s">
        <v>21</v>
      </c>
      <c r="V8" s="99">
        <v>38</v>
      </c>
      <c r="W8" s="17"/>
      <c r="X8" s="98"/>
      <c r="Y8" s="17"/>
      <c r="Z8" s="17"/>
      <c r="AA8" s="17"/>
      <c r="AB8" s="17"/>
      <c r="AC8" s="230"/>
      <c r="AD8" s="17"/>
      <c r="AE8" s="112"/>
    </row>
    <row r="9" spans="1:33" ht="7.5" customHeight="1">
      <c r="A9" s="33"/>
      <c r="B9" s="20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71"/>
      <c r="R9" s="71"/>
      <c r="S9" s="71"/>
      <c r="T9" s="17"/>
      <c r="U9" s="17"/>
      <c r="V9" s="99"/>
      <c r="W9" s="17"/>
      <c r="X9" s="98"/>
      <c r="Y9" s="17"/>
      <c r="Z9" s="17"/>
      <c r="AA9" s="17"/>
      <c r="AB9" s="17"/>
      <c r="AC9" s="17"/>
      <c r="AD9" s="17"/>
    </row>
    <row r="10" spans="1:33" ht="15.75">
      <c r="A10" s="231" t="s">
        <v>22</v>
      </c>
      <c r="C10" s="233" t="s">
        <v>23</v>
      </c>
      <c r="D10" s="34" t="s">
        <v>24</v>
      </c>
      <c r="E10" s="235" t="s">
        <v>25</v>
      </c>
      <c r="F10" s="237"/>
      <c r="G10" s="238"/>
      <c r="H10" s="237"/>
      <c r="I10" s="238"/>
      <c r="J10" s="239" t="s">
        <v>28</v>
      </c>
      <c r="K10" s="239" t="s">
        <v>29</v>
      </c>
      <c r="L10" s="241" t="s">
        <v>30</v>
      </c>
      <c r="M10" s="243" t="s">
        <v>31</v>
      </c>
      <c r="N10" s="239" t="s">
        <v>32</v>
      </c>
      <c r="O10" s="239" t="s">
        <v>33</v>
      </c>
      <c r="P10" s="239"/>
      <c r="Q10" s="245" t="s">
        <v>35</v>
      </c>
      <c r="R10" s="246"/>
      <c r="S10" s="247"/>
      <c r="T10" s="17"/>
      <c r="U10" s="17"/>
      <c r="V10" s="99"/>
      <c r="W10" s="17"/>
      <c r="X10" s="17"/>
      <c r="Y10" s="17"/>
      <c r="Z10" s="17"/>
      <c r="AA10" s="17"/>
      <c r="AB10" s="17"/>
      <c r="AC10" s="251" t="s">
        <v>36</v>
      </c>
    </row>
    <row r="11" spans="1:33" ht="15.75">
      <c r="A11" s="232"/>
      <c r="B11" s="35"/>
      <c r="C11" s="234"/>
      <c r="D11" s="36" t="s">
        <v>37</v>
      </c>
      <c r="E11" s="236"/>
      <c r="F11" s="37" t="s">
        <v>38</v>
      </c>
      <c r="G11" s="37" t="s">
        <v>39</v>
      </c>
      <c r="H11" s="37" t="s">
        <v>38</v>
      </c>
      <c r="I11" s="37" t="s">
        <v>39</v>
      </c>
      <c r="J11" s="240"/>
      <c r="K11" s="240"/>
      <c r="L11" s="242"/>
      <c r="M11" s="244"/>
      <c r="N11" s="240"/>
      <c r="O11" s="240"/>
      <c r="P11" s="240"/>
      <c r="Q11" s="248"/>
      <c r="R11" s="249"/>
      <c r="S11" s="250"/>
      <c r="T11" s="17"/>
      <c r="U11" s="100" t="s">
        <v>40</v>
      </c>
      <c r="V11" s="100" t="s">
        <v>41</v>
      </c>
      <c r="W11" s="100" t="s">
        <v>42</v>
      </c>
      <c r="X11" s="100" t="s">
        <v>43</v>
      </c>
      <c r="Y11" s="100" t="s">
        <v>44</v>
      </c>
      <c r="Z11" s="100" t="s">
        <v>45</v>
      </c>
      <c r="AA11" s="100" t="s">
        <v>46</v>
      </c>
      <c r="AB11" s="37" t="s">
        <v>47</v>
      </c>
      <c r="AC11" s="252"/>
      <c r="AE11" s="8" t="s">
        <v>48</v>
      </c>
      <c r="AF11" s="8">
        <f>COUNTIF($N$12:$N$31,$AD$2)</f>
        <v>0</v>
      </c>
      <c r="AG11" s="126">
        <f>SUM(N12:N31)</f>
        <v>0</v>
      </c>
    </row>
    <row r="12" spans="1:33" ht="15.75" customHeight="1">
      <c r="A12" s="191">
        <v>44645</v>
      </c>
      <c r="B12" s="192">
        <v>44185</v>
      </c>
      <c r="C12" s="39" t="str">
        <f>TEXT(A12,"ddd")</f>
        <v>qui</v>
      </c>
      <c r="D12" s="196"/>
      <c r="E12" s="41"/>
      <c r="F12" s="41"/>
      <c r="G12" s="41"/>
      <c r="H12" s="41"/>
      <c r="I12" s="41"/>
      <c r="J12" s="41"/>
      <c r="K12" s="193"/>
      <c r="L12" s="75">
        <f t="shared" ref="L12:L40" si="0">IFERROR((F12-E12)+(H12-G12)+(J12-I12)-K12,0)</f>
        <v>0</v>
      </c>
      <c r="M12" s="118">
        <f t="shared" ref="M12:M40" si="1">IFERROR(J12-E12,0)</f>
        <v>0</v>
      </c>
      <c r="N12" s="194"/>
      <c r="O12" s="77">
        <f>U12</f>
        <v>0</v>
      </c>
      <c r="P12" s="76"/>
      <c r="Q12" s="72"/>
      <c r="R12" s="73"/>
      <c r="S12" s="74"/>
      <c r="T12" s="17"/>
      <c r="U12" s="41">
        <f t="shared" ref="U12:U17" si="2">V12+X12</f>
        <v>0</v>
      </c>
      <c r="V12" s="41">
        <f t="shared" ref="V12:V42" si="3">IFERROR(W12-Z12,0)</f>
        <v>0</v>
      </c>
      <c r="W12" s="41">
        <f t="shared" ref="W12:W42" si="4">IF(AND(E12&gt;=$AB$19,E12&lt;=$AB$20),$AB$20,IF(AND(E12&gt;=$AB$17,E12&lt;=$AB$18),$AB$17,0))</f>
        <v>0</v>
      </c>
      <c r="X12" s="41">
        <f t="shared" ref="X12:X42" si="5">IFERROR(AA12-Y12,0)</f>
        <v>0</v>
      </c>
      <c r="Y12" s="41">
        <f t="shared" ref="Y12:Y42" si="6">IF(AND(J12&gt;=$AB$19,J12&lt;=$AB$20),$AB$20,IF(AND(J12&gt;=$AB$17,J12&lt;=$AB$18),$AB$17,0))</f>
        <v>0</v>
      </c>
      <c r="Z12" s="41">
        <f t="shared" ref="Z12:Z42" si="7">IF(AND($E12&gt;=$AB$17,$E12&lt;=$AB$18),$E12,IF(AND($E12&gt;=$AB$19,$E12&lt;=$AB$20),$E12,0))</f>
        <v>0</v>
      </c>
      <c r="AA12" s="41">
        <f t="shared" ref="AA12:AA42" si="8">IF(AND($J12&gt;=$AB$17,$J12&lt;=$AB$18),$J12,IF(AND($J12&gt;=$AB$19,$J12&lt;=$AB$20),$J12,0))</f>
        <v>0</v>
      </c>
      <c r="AB12" s="37"/>
      <c r="AC12" s="113"/>
      <c r="AE12" s="8" t="s">
        <v>49</v>
      </c>
      <c r="AF12" s="8">
        <f>COUNTIF($N$32:$N$42,$AD$2)</f>
        <v>0</v>
      </c>
      <c r="AG12" s="126">
        <f>SUM(N32:N42)</f>
        <v>0</v>
      </c>
    </row>
    <row r="13" spans="1:33" ht="16.5" customHeight="1">
      <c r="A13" s="191">
        <f>A12+1</f>
        <v>44646</v>
      </c>
      <c r="B13" s="191">
        <f t="shared" ref="B13:B42" si="9">B12+1</f>
        <v>44186</v>
      </c>
      <c r="C13" s="39" t="str">
        <f t="shared" ref="C13:C40" si="10">TEXT(A13,"ddd")</f>
        <v>sex</v>
      </c>
      <c r="D13" s="196"/>
      <c r="E13" s="41"/>
      <c r="F13" s="41"/>
      <c r="G13" s="41"/>
      <c r="H13" s="41"/>
      <c r="I13" s="41"/>
      <c r="J13" s="41"/>
      <c r="K13" s="193"/>
      <c r="L13" s="75">
        <f t="shared" si="0"/>
        <v>0</v>
      </c>
      <c r="M13" s="118">
        <f t="shared" si="1"/>
        <v>0</v>
      </c>
      <c r="N13" s="194"/>
      <c r="O13" s="77">
        <f t="shared" ref="O13:O40" si="11">U13</f>
        <v>0</v>
      </c>
      <c r="P13" s="76"/>
      <c r="Q13" s="72"/>
      <c r="R13" s="73"/>
      <c r="S13" s="74"/>
      <c r="T13" s="17"/>
      <c r="U13" s="41">
        <f t="shared" si="2"/>
        <v>0</v>
      </c>
      <c r="V13" s="41">
        <f t="shared" si="3"/>
        <v>0</v>
      </c>
      <c r="W13" s="41">
        <f t="shared" si="4"/>
        <v>0</v>
      </c>
      <c r="X13" s="41">
        <f t="shared" si="5"/>
        <v>0</v>
      </c>
      <c r="Y13" s="41">
        <f t="shared" si="6"/>
        <v>0</v>
      </c>
      <c r="Z13" s="41">
        <f t="shared" si="7"/>
        <v>0</v>
      </c>
      <c r="AA13" s="41">
        <f t="shared" si="8"/>
        <v>0</v>
      </c>
      <c r="AB13" s="37"/>
      <c r="AC13" s="113"/>
      <c r="AG13" s="126"/>
    </row>
    <row r="14" spans="1:33" ht="15.75">
      <c r="A14" s="191">
        <f t="shared" ref="A14:A42" si="12">A13+1</f>
        <v>44647</v>
      </c>
      <c r="B14" s="191">
        <f t="shared" si="9"/>
        <v>44187</v>
      </c>
      <c r="C14" s="39" t="str">
        <f t="shared" si="10"/>
        <v>sáb</v>
      </c>
      <c r="D14" s="196"/>
      <c r="E14" s="41"/>
      <c r="F14" s="41"/>
      <c r="G14" s="41"/>
      <c r="H14" s="41"/>
      <c r="I14" s="41"/>
      <c r="J14" s="41"/>
      <c r="K14" s="193"/>
      <c r="L14" s="75">
        <f t="shared" si="0"/>
        <v>0</v>
      </c>
      <c r="M14" s="118">
        <f t="shared" si="1"/>
        <v>0</v>
      </c>
      <c r="N14" s="194"/>
      <c r="O14" s="77">
        <f t="shared" si="11"/>
        <v>0</v>
      </c>
      <c r="P14" s="76"/>
      <c r="Q14" s="72"/>
      <c r="R14" s="73"/>
      <c r="S14" s="74"/>
      <c r="T14" s="17"/>
      <c r="U14" s="41">
        <f t="shared" si="2"/>
        <v>0</v>
      </c>
      <c r="V14" s="41">
        <f t="shared" si="3"/>
        <v>0</v>
      </c>
      <c r="W14" s="41">
        <f t="shared" si="4"/>
        <v>0</v>
      </c>
      <c r="X14" s="41">
        <f t="shared" si="5"/>
        <v>0</v>
      </c>
      <c r="Y14" s="41">
        <f t="shared" si="6"/>
        <v>0</v>
      </c>
      <c r="Z14" s="41">
        <f t="shared" si="7"/>
        <v>0</v>
      </c>
      <c r="AA14" s="41">
        <f t="shared" si="8"/>
        <v>0</v>
      </c>
      <c r="AB14" s="37"/>
      <c r="AC14" s="113"/>
      <c r="AG14" s="126"/>
    </row>
    <row r="15" spans="1:33" ht="15.75">
      <c r="A15" s="191">
        <f t="shared" si="12"/>
        <v>44648</v>
      </c>
      <c r="B15" s="191">
        <f t="shared" si="9"/>
        <v>44188</v>
      </c>
      <c r="C15" s="39" t="str">
        <f t="shared" si="10"/>
        <v>dom</v>
      </c>
      <c r="D15" s="196"/>
      <c r="E15" s="41"/>
      <c r="F15" s="41"/>
      <c r="G15" s="41"/>
      <c r="H15" s="41"/>
      <c r="I15" s="41"/>
      <c r="J15" s="41"/>
      <c r="K15" s="193"/>
      <c r="L15" s="75">
        <f t="shared" si="0"/>
        <v>0</v>
      </c>
      <c r="M15" s="118">
        <f t="shared" si="1"/>
        <v>0</v>
      </c>
      <c r="N15" s="194"/>
      <c r="O15" s="77">
        <f t="shared" si="11"/>
        <v>0</v>
      </c>
      <c r="P15" s="76"/>
      <c r="Q15" s="72"/>
      <c r="R15" s="73"/>
      <c r="S15" s="74"/>
      <c r="T15" s="17"/>
      <c r="U15" s="41">
        <f t="shared" si="2"/>
        <v>0</v>
      </c>
      <c r="V15" s="41">
        <f t="shared" si="3"/>
        <v>0</v>
      </c>
      <c r="W15" s="41">
        <f t="shared" si="4"/>
        <v>0</v>
      </c>
      <c r="X15" s="41">
        <f t="shared" si="5"/>
        <v>0</v>
      </c>
      <c r="Y15" s="41">
        <f t="shared" si="6"/>
        <v>0</v>
      </c>
      <c r="Z15" s="41">
        <f t="shared" si="7"/>
        <v>0</v>
      </c>
      <c r="AA15" s="41">
        <f t="shared" si="8"/>
        <v>0</v>
      </c>
      <c r="AB15" s="37"/>
      <c r="AC15" s="113"/>
      <c r="AG15" s="126"/>
    </row>
    <row r="16" spans="1:33" ht="15.75">
      <c r="A16" s="191">
        <f t="shared" si="12"/>
        <v>44649</v>
      </c>
      <c r="B16" s="191">
        <f t="shared" si="9"/>
        <v>44189</v>
      </c>
      <c r="C16" s="39" t="str">
        <f t="shared" si="10"/>
        <v>seg</v>
      </c>
      <c r="D16" s="196"/>
      <c r="E16" s="41"/>
      <c r="F16" s="41"/>
      <c r="G16" s="41"/>
      <c r="H16" s="41"/>
      <c r="I16" s="41"/>
      <c r="J16" s="41"/>
      <c r="K16" s="193"/>
      <c r="L16" s="75">
        <f t="shared" si="0"/>
        <v>0</v>
      </c>
      <c r="M16" s="118">
        <f t="shared" si="1"/>
        <v>0</v>
      </c>
      <c r="N16" s="194"/>
      <c r="O16" s="77">
        <f t="shared" si="11"/>
        <v>0</v>
      </c>
      <c r="P16" s="76"/>
      <c r="Q16" s="72"/>
      <c r="R16" s="73"/>
      <c r="S16" s="74"/>
      <c r="T16" s="17"/>
      <c r="U16" s="41">
        <f t="shared" si="2"/>
        <v>0</v>
      </c>
      <c r="V16" s="41">
        <f t="shared" si="3"/>
        <v>0</v>
      </c>
      <c r="W16" s="41">
        <f t="shared" si="4"/>
        <v>0</v>
      </c>
      <c r="X16" s="41">
        <f t="shared" si="5"/>
        <v>0</v>
      </c>
      <c r="Y16" s="41">
        <f t="shared" si="6"/>
        <v>0</v>
      </c>
      <c r="Z16" s="41">
        <f t="shared" si="7"/>
        <v>0</v>
      </c>
      <c r="AA16" s="41">
        <f t="shared" si="8"/>
        <v>0</v>
      </c>
      <c r="AB16" s="37"/>
      <c r="AC16" s="113"/>
      <c r="AG16" s="126"/>
    </row>
    <row r="17" spans="1:29" ht="15.75">
      <c r="A17" s="191">
        <f t="shared" si="12"/>
        <v>44650</v>
      </c>
      <c r="B17" s="191">
        <f t="shared" si="9"/>
        <v>44190</v>
      </c>
      <c r="C17" s="39" t="str">
        <f t="shared" si="10"/>
        <v>ter</v>
      </c>
      <c r="D17" s="196"/>
      <c r="E17" s="41"/>
      <c r="F17" s="41"/>
      <c r="G17" s="41"/>
      <c r="H17" s="41"/>
      <c r="I17" s="41"/>
      <c r="J17" s="41"/>
      <c r="K17" s="193"/>
      <c r="L17" s="75">
        <f t="shared" si="0"/>
        <v>0</v>
      </c>
      <c r="M17" s="118">
        <f t="shared" si="1"/>
        <v>0</v>
      </c>
      <c r="N17" s="194"/>
      <c r="O17" s="77">
        <f t="shared" si="11"/>
        <v>0</v>
      </c>
      <c r="P17" s="76"/>
      <c r="Q17" s="78"/>
      <c r="R17" s="79"/>
      <c r="S17" s="80"/>
      <c r="T17" s="17"/>
      <c r="U17" s="41">
        <f t="shared" si="2"/>
        <v>0</v>
      </c>
      <c r="V17" s="41">
        <f t="shared" si="3"/>
        <v>0</v>
      </c>
      <c r="W17" s="41">
        <f t="shared" si="4"/>
        <v>0</v>
      </c>
      <c r="X17" s="41">
        <f t="shared" si="5"/>
        <v>0</v>
      </c>
      <c r="Y17" s="41">
        <f t="shared" si="6"/>
        <v>0</v>
      </c>
      <c r="Z17" s="41">
        <f t="shared" si="7"/>
        <v>0</v>
      </c>
      <c r="AA17" s="41">
        <f t="shared" si="8"/>
        <v>0</v>
      </c>
      <c r="AB17" s="127">
        <v>0.91666666666666696</v>
      </c>
      <c r="AC17" s="113"/>
    </row>
    <row r="18" spans="1:29" ht="15.75">
      <c r="A18" s="191">
        <f t="shared" si="12"/>
        <v>44651</v>
      </c>
      <c r="B18" s="191">
        <f t="shared" si="9"/>
        <v>44191</v>
      </c>
      <c r="C18" s="39" t="str">
        <f t="shared" si="10"/>
        <v>qua</v>
      </c>
      <c r="D18" s="196"/>
      <c r="E18" s="41"/>
      <c r="F18" s="41"/>
      <c r="G18" s="41"/>
      <c r="H18" s="41"/>
      <c r="I18" s="41"/>
      <c r="J18" s="41"/>
      <c r="K18" s="193"/>
      <c r="L18" s="75">
        <f t="shared" si="0"/>
        <v>0</v>
      </c>
      <c r="M18" s="118">
        <f t="shared" si="1"/>
        <v>0</v>
      </c>
      <c r="N18" s="194"/>
      <c r="O18" s="77">
        <f t="shared" si="11"/>
        <v>0</v>
      </c>
      <c r="P18" s="76"/>
      <c r="Q18" s="78"/>
      <c r="R18" s="79"/>
      <c r="S18" s="80"/>
      <c r="T18" s="17"/>
      <c r="U18" s="41">
        <f t="shared" ref="U18:U42" si="13">V18+X18</f>
        <v>0</v>
      </c>
      <c r="V18" s="41">
        <f t="shared" si="3"/>
        <v>0</v>
      </c>
      <c r="W18" s="41">
        <f t="shared" si="4"/>
        <v>0</v>
      </c>
      <c r="X18" s="41">
        <f t="shared" si="5"/>
        <v>0</v>
      </c>
      <c r="Y18" s="41">
        <f t="shared" si="6"/>
        <v>0</v>
      </c>
      <c r="Z18" s="41">
        <f t="shared" si="7"/>
        <v>0</v>
      </c>
      <c r="AA18" s="41">
        <f t="shared" si="8"/>
        <v>0</v>
      </c>
      <c r="AB18" s="127">
        <v>0.999305555555556</v>
      </c>
      <c r="AC18" s="113"/>
    </row>
    <row r="19" spans="1:29" ht="15.75">
      <c r="A19" s="191">
        <f t="shared" si="12"/>
        <v>44652</v>
      </c>
      <c r="B19" s="191">
        <f t="shared" si="9"/>
        <v>44192</v>
      </c>
      <c r="C19" s="39" t="str">
        <f t="shared" si="10"/>
        <v>qui</v>
      </c>
      <c r="D19" s="196"/>
      <c r="E19" s="41"/>
      <c r="F19" s="41"/>
      <c r="G19" s="41"/>
      <c r="H19" s="41"/>
      <c r="I19" s="41"/>
      <c r="J19" s="41"/>
      <c r="K19" s="193"/>
      <c r="L19" s="75">
        <f t="shared" si="0"/>
        <v>0</v>
      </c>
      <c r="M19" s="118">
        <f t="shared" si="1"/>
        <v>0</v>
      </c>
      <c r="N19" s="194"/>
      <c r="O19" s="77">
        <f t="shared" si="11"/>
        <v>0</v>
      </c>
      <c r="P19" s="76"/>
      <c r="Q19" s="78"/>
      <c r="R19" s="79"/>
      <c r="S19" s="80"/>
      <c r="T19" s="17"/>
      <c r="U19" s="41">
        <f t="shared" si="13"/>
        <v>0</v>
      </c>
      <c r="V19" s="41">
        <f t="shared" si="3"/>
        <v>0</v>
      </c>
      <c r="W19" s="41">
        <f t="shared" si="4"/>
        <v>0</v>
      </c>
      <c r="X19" s="41">
        <f t="shared" si="5"/>
        <v>0</v>
      </c>
      <c r="Y19" s="41">
        <f t="shared" si="6"/>
        <v>0</v>
      </c>
      <c r="Z19" s="41">
        <f t="shared" si="7"/>
        <v>0</v>
      </c>
      <c r="AA19" s="41">
        <f t="shared" si="8"/>
        <v>0</v>
      </c>
      <c r="AB19" s="127">
        <v>6.9444444444444404E-4</v>
      </c>
      <c r="AC19" s="113"/>
    </row>
    <row r="20" spans="1:29" ht="15.75">
      <c r="A20" s="191">
        <f t="shared" si="12"/>
        <v>44653</v>
      </c>
      <c r="B20" s="191">
        <f t="shared" si="9"/>
        <v>44193</v>
      </c>
      <c r="C20" s="39" t="str">
        <f t="shared" si="10"/>
        <v>sex</v>
      </c>
      <c r="D20" s="196"/>
      <c r="E20" s="41"/>
      <c r="F20" s="41"/>
      <c r="G20" s="41"/>
      <c r="H20" s="41"/>
      <c r="I20" s="41"/>
      <c r="J20" s="41"/>
      <c r="K20" s="193"/>
      <c r="L20" s="75">
        <f t="shared" si="0"/>
        <v>0</v>
      </c>
      <c r="M20" s="118">
        <f t="shared" si="1"/>
        <v>0</v>
      </c>
      <c r="N20" s="194"/>
      <c r="O20" s="77">
        <f t="shared" si="11"/>
        <v>0</v>
      </c>
      <c r="P20" s="76"/>
      <c r="Q20" s="78"/>
      <c r="R20" s="79"/>
      <c r="S20" s="80"/>
      <c r="T20" s="17"/>
      <c r="U20" s="41">
        <f t="shared" si="13"/>
        <v>0</v>
      </c>
      <c r="V20" s="41">
        <f t="shared" si="3"/>
        <v>0</v>
      </c>
      <c r="W20" s="41">
        <f t="shared" si="4"/>
        <v>0</v>
      </c>
      <c r="X20" s="41">
        <f t="shared" si="5"/>
        <v>0</v>
      </c>
      <c r="Y20" s="41">
        <f t="shared" si="6"/>
        <v>0</v>
      </c>
      <c r="Z20" s="41">
        <f t="shared" si="7"/>
        <v>0</v>
      </c>
      <c r="AA20" s="41">
        <f t="shared" si="8"/>
        <v>0</v>
      </c>
      <c r="AB20" s="127">
        <v>0.20833333333333301</v>
      </c>
      <c r="AC20" s="113"/>
    </row>
    <row r="21" spans="1:29" ht="15.75">
      <c r="A21" s="191">
        <f t="shared" si="12"/>
        <v>44654</v>
      </c>
      <c r="B21" s="191">
        <f t="shared" si="9"/>
        <v>44194</v>
      </c>
      <c r="C21" s="39" t="str">
        <f t="shared" si="10"/>
        <v>sáb</v>
      </c>
      <c r="D21" s="196"/>
      <c r="E21" s="41"/>
      <c r="F21" s="41"/>
      <c r="G21" s="41"/>
      <c r="H21" s="41"/>
      <c r="I21" s="41"/>
      <c r="J21" s="41"/>
      <c r="K21" s="193"/>
      <c r="L21" s="75">
        <f t="shared" si="0"/>
        <v>0</v>
      </c>
      <c r="M21" s="118">
        <f t="shared" si="1"/>
        <v>0</v>
      </c>
      <c r="N21" s="194"/>
      <c r="O21" s="77">
        <f t="shared" si="11"/>
        <v>0</v>
      </c>
      <c r="P21" s="76"/>
      <c r="Q21" s="78"/>
      <c r="R21" s="79"/>
      <c r="S21" s="80"/>
      <c r="T21" s="17"/>
      <c r="U21" s="41">
        <f t="shared" si="13"/>
        <v>0</v>
      </c>
      <c r="V21" s="41">
        <f t="shared" si="3"/>
        <v>0</v>
      </c>
      <c r="W21" s="41">
        <f t="shared" si="4"/>
        <v>0</v>
      </c>
      <c r="X21" s="41">
        <f t="shared" si="5"/>
        <v>0</v>
      </c>
      <c r="Y21" s="41">
        <f t="shared" si="6"/>
        <v>0</v>
      </c>
      <c r="Z21" s="41">
        <f t="shared" si="7"/>
        <v>0</v>
      </c>
      <c r="AA21" s="41">
        <f t="shared" si="8"/>
        <v>0</v>
      </c>
      <c r="AB21" s="127"/>
      <c r="AC21" s="113"/>
    </row>
    <row r="22" spans="1:29" ht="15.75">
      <c r="A22" s="191">
        <f t="shared" si="12"/>
        <v>44655</v>
      </c>
      <c r="B22" s="191">
        <f t="shared" si="9"/>
        <v>44195</v>
      </c>
      <c r="C22" s="39" t="str">
        <f t="shared" si="10"/>
        <v>dom</v>
      </c>
      <c r="D22" s="196"/>
      <c r="E22" s="41"/>
      <c r="F22" s="41"/>
      <c r="G22" s="41"/>
      <c r="H22" s="41"/>
      <c r="I22" s="41"/>
      <c r="J22" s="41"/>
      <c r="K22" s="193"/>
      <c r="L22" s="75">
        <f t="shared" si="0"/>
        <v>0</v>
      </c>
      <c r="M22" s="118">
        <f t="shared" si="1"/>
        <v>0</v>
      </c>
      <c r="N22" s="194"/>
      <c r="O22" s="77">
        <f t="shared" si="11"/>
        <v>0</v>
      </c>
      <c r="P22" s="76"/>
      <c r="Q22" s="78"/>
      <c r="R22" s="79"/>
      <c r="S22" s="80"/>
      <c r="T22" s="17"/>
      <c r="U22" s="41">
        <f t="shared" si="13"/>
        <v>0</v>
      </c>
      <c r="V22" s="41">
        <f t="shared" si="3"/>
        <v>0</v>
      </c>
      <c r="W22" s="41">
        <f t="shared" si="4"/>
        <v>0</v>
      </c>
      <c r="X22" s="41">
        <f t="shared" si="5"/>
        <v>0</v>
      </c>
      <c r="Y22" s="41">
        <f t="shared" si="6"/>
        <v>0</v>
      </c>
      <c r="Z22" s="41">
        <f t="shared" si="7"/>
        <v>0</v>
      </c>
      <c r="AA22" s="41">
        <f t="shared" si="8"/>
        <v>0</v>
      </c>
      <c r="AB22" s="127"/>
      <c r="AC22" s="113"/>
    </row>
    <row r="23" spans="1:29" ht="15.75">
      <c r="A23" s="191">
        <f t="shared" si="12"/>
        <v>44656</v>
      </c>
      <c r="B23" s="191">
        <f t="shared" si="9"/>
        <v>44196</v>
      </c>
      <c r="C23" s="39" t="str">
        <f t="shared" si="10"/>
        <v>seg</v>
      </c>
      <c r="D23" s="196"/>
      <c r="E23" s="41"/>
      <c r="F23" s="41"/>
      <c r="G23" s="41"/>
      <c r="H23" s="41"/>
      <c r="I23" s="41"/>
      <c r="J23" s="41"/>
      <c r="K23" s="193"/>
      <c r="L23" s="75">
        <f t="shared" si="0"/>
        <v>0</v>
      </c>
      <c r="M23" s="118">
        <f t="shared" si="1"/>
        <v>0</v>
      </c>
      <c r="N23" s="194"/>
      <c r="O23" s="77">
        <f t="shared" si="11"/>
        <v>0</v>
      </c>
      <c r="P23" s="76"/>
      <c r="Q23" s="78"/>
      <c r="R23" s="79"/>
      <c r="S23" s="80"/>
      <c r="T23" s="17"/>
      <c r="U23" s="41">
        <f t="shared" si="13"/>
        <v>0</v>
      </c>
      <c r="V23" s="41">
        <f t="shared" si="3"/>
        <v>0</v>
      </c>
      <c r="W23" s="41">
        <f t="shared" si="4"/>
        <v>0</v>
      </c>
      <c r="X23" s="41">
        <f t="shared" si="5"/>
        <v>0</v>
      </c>
      <c r="Y23" s="41">
        <f t="shared" si="6"/>
        <v>0</v>
      </c>
      <c r="Z23" s="41">
        <f t="shared" si="7"/>
        <v>0</v>
      </c>
      <c r="AA23" s="41">
        <f t="shared" si="8"/>
        <v>0</v>
      </c>
      <c r="AB23" s="127"/>
      <c r="AC23" s="113"/>
    </row>
    <row r="24" spans="1:29" ht="15.75">
      <c r="A24" s="191">
        <f t="shared" si="12"/>
        <v>44657</v>
      </c>
      <c r="B24" s="191">
        <f t="shared" si="9"/>
        <v>44197</v>
      </c>
      <c r="C24" s="39" t="str">
        <f t="shared" si="10"/>
        <v>ter</v>
      </c>
      <c r="D24" s="196"/>
      <c r="E24" s="197"/>
      <c r="F24" s="197"/>
      <c r="G24" s="197"/>
      <c r="H24" s="197"/>
      <c r="I24" s="197"/>
      <c r="J24" s="197"/>
      <c r="K24" s="193"/>
      <c r="L24" s="75">
        <f t="shared" si="0"/>
        <v>0</v>
      </c>
      <c r="M24" s="118">
        <f t="shared" si="1"/>
        <v>0</v>
      </c>
      <c r="N24" s="194"/>
      <c r="O24" s="77">
        <f t="shared" si="11"/>
        <v>0</v>
      </c>
      <c r="P24" s="76"/>
      <c r="Q24" s="78"/>
      <c r="R24" s="79"/>
      <c r="S24" s="80"/>
      <c r="T24" s="17"/>
      <c r="U24" s="41">
        <f t="shared" si="13"/>
        <v>0</v>
      </c>
      <c r="V24" s="41">
        <f t="shared" si="3"/>
        <v>0</v>
      </c>
      <c r="W24" s="41">
        <f t="shared" si="4"/>
        <v>0</v>
      </c>
      <c r="X24" s="41">
        <f t="shared" si="5"/>
        <v>0</v>
      </c>
      <c r="Y24" s="41">
        <f t="shared" si="6"/>
        <v>0</v>
      </c>
      <c r="Z24" s="41">
        <f t="shared" si="7"/>
        <v>0</v>
      </c>
      <c r="AA24" s="41">
        <f t="shared" si="8"/>
        <v>0</v>
      </c>
      <c r="AB24" s="127"/>
      <c r="AC24" s="113"/>
    </row>
    <row r="25" spans="1:29" ht="15.75">
      <c r="A25" s="191">
        <f t="shared" si="12"/>
        <v>44658</v>
      </c>
      <c r="B25" s="191">
        <f t="shared" si="9"/>
        <v>44198</v>
      </c>
      <c r="C25" s="39" t="str">
        <f t="shared" si="10"/>
        <v>qua</v>
      </c>
      <c r="D25" s="196"/>
      <c r="E25" s="197"/>
      <c r="F25" s="197"/>
      <c r="G25" s="197"/>
      <c r="H25" s="197"/>
      <c r="I25" s="197"/>
      <c r="J25" s="197"/>
      <c r="K25" s="193"/>
      <c r="L25" s="75">
        <f t="shared" si="0"/>
        <v>0</v>
      </c>
      <c r="M25" s="118">
        <f t="shared" si="1"/>
        <v>0</v>
      </c>
      <c r="N25" s="194"/>
      <c r="O25" s="77">
        <f t="shared" si="11"/>
        <v>0</v>
      </c>
      <c r="P25" s="76"/>
      <c r="Q25" s="78"/>
      <c r="R25" s="79"/>
      <c r="S25" s="80"/>
      <c r="T25" s="17"/>
      <c r="U25" s="41">
        <f t="shared" si="13"/>
        <v>0</v>
      </c>
      <c r="V25" s="41">
        <f t="shared" si="3"/>
        <v>0</v>
      </c>
      <c r="W25" s="41">
        <f t="shared" si="4"/>
        <v>0</v>
      </c>
      <c r="X25" s="41">
        <f t="shared" si="5"/>
        <v>0</v>
      </c>
      <c r="Y25" s="41">
        <f t="shared" si="6"/>
        <v>0</v>
      </c>
      <c r="Z25" s="41">
        <f t="shared" si="7"/>
        <v>0</v>
      </c>
      <c r="AA25" s="41">
        <f t="shared" si="8"/>
        <v>0</v>
      </c>
      <c r="AB25" s="129"/>
      <c r="AC25" s="113"/>
    </row>
    <row r="26" spans="1:29" ht="15.75">
      <c r="A26" s="191">
        <f t="shared" si="12"/>
        <v>44659</v>
      </c>
      <c r="B26" s="191">
        <f t="shared" si="9"/>
        <v>44199</v>
      </c>
      <c r="C26" s="39" t="str">
        <f t="shared" si="10"/>
        <v>qui</v>
      </c>
      <c r="D26" s="196"/>
      <c r="E26" s="197"/>
      <c r="F26" s="197"/>
      <c r="G26" s="197"/>
      <c r="H26" s="197"/>
      <c r="I26" s="197"/>
      <c r="J26" s="197"/>
      <c r="K26" s="193"/>
      <c r="L26" s="75">
        <f t="shared" si="0"/>
        <v>0</v>
      </c>
      <c r="M26" s="118">
        <f t="shared" si="1"/>
        <v>0</v>
      </c>
      <c r="N26" s="194"/>
      <c r="O26" s="77">
        <f t="shared" si="11"/>
        <v>0</v>
      </c>
      <c r="P26" s="76"/>
      <c r="Q26" s="78"/>
      <c r="R26" s="79"/>
      <c r="S26" s="80"/>
      <c r="T26" s="17"/>
      <c r="U26" s="41">
        <f t="shared" si="13"/>
        <v>0</v>
      </c>
      <c r="V26" s="41">
        <f t="shared" si="3"/>
        <v>0</v>
      </c>
      <c r="W26" s="41">
        <f t="shared" si="4"/>
        <v>0</v>
      </c>
      <c r="X26" s="41">
        <f t="shared" si="5"/>
        <v>0</v>
      </c>
      <c r="Y26" s="41">
        <f t="shared" si="6"/>
        <v>0</v>
      </c>
      <c r="Z26" s="41">
        <f t="shared" si="7"/>
        <v>0</v>
      </c>
      <c r="AA26" s="41">
        <f t="shared" si="8"/>
        <v>0</v>
      </c>
      <c r="AB26" s="129"/>
      <c r="AC26" s="113"/>
    </row>
    <row r="27" spans="1:29" ht="15.75">
      <c r="A27" s="191">
        <f t="shared" si="12"/>
        <v>44660</v>
      </c>
      <c r="B27" s="191">
        <f t="shared" si="9"/>
        <v>44200</v>
      </c>
      <c r="C27" s="39" t="str">
        <f t="shared" si="10"/>
        <v>sex</v>
      </c>
      <c r="D27" s="196"/>
      <c r="E27" s="197"/>
      <c r="F27" s="197"/>
      <c r="G27" s="197"/>
      <c r="H27" s="197"/>
      <c r="I27" s="197"/>
      <c r="J27" s="197"/>
      <c r="K27" s="193"/>
      <c r="L27" s="75">
        <f t="shared" si="0"/>
        <v>0</v>
      </c>
      <c r="M27" s="118">
        <f t="shared" si="1"/>
        <v>0</v>
      </c>
      <c r="N27" s="194"/>
      <c r="O27" s="77">
        <f t="shared" si="11"/>
        <v>0</v>
      </c>
      <c r="P27" s="76"/>
      <c r="Q27" s="78"/>
      <c r="R27" s="82"/>
      <c r="S27" s="83"/>
      <c r="T27" s="17"/>
      <c r="U27" s="41">
        <f t="shared" si="13"/>
        <v>0</v>
      </c>
      <c r="V27" s="41">
        <f t="shared" si="3"/>
        <v>0</v>
      </c>
      <c r="W27" s="41">
        <f t="shared" si="4"/>
        <v>0</v>
      </c>
      <c r="X27" s="41">
        <f t="shared" si="5"/>
        <v>0</v>
      </c>
      <c r="Y27" s="41">
        <f t="shared" si="6"/>
        <v>0</v>
      </c>
      <c r="Z27" s="41">
        <f t="shared" si="7"/>
        <v>0</v>
      </c>
      <c r="AA27" s="41">
        <f t="shared" si="8"/>
        <v>0</v>
      </c>
      <c r="AB27" s="129"/>
      <c r="AC27" s="113"/>
    </row>
    <row r="28" spans="1:29" ht="15.75">
      <c r="A28" s="191">
        <f t="shared" si="12"/>
        <v>44661</v>
      </c>
      <c r="B28" s="191">
        <f t="shared" si="9"/>
        <v>44201</v>
      </c>
      <c r="C28" s="39" t="str">
        <f t="shared" si="10"/>
        <v>sáb</v>
      </c>
      <c r="D28" s="196"/>
      <c r="E28" s="197"/>
      <c r="F28" s="197"/>
      <c r="G28" s="197"/>
      <c r="H28" s="197"/>
      <c r="I28" s="197"/>
      <c r="J28" s="197"/>
      <c r="K28" s="193"/>
      <c r="L28" s="75">
        <f t="shared" si="0"/>
        <v>0</v>
      </c>
      <c r="M28" s="118">
        <f t="shared" si="1"/>
        <v>0</v>
      </c>
      <c r="N28" s="194"/>
      <c r="O28" s="77">
        <f t="shared" si="11"/>
        <v>0</v>
      </c>
      <c r="P28" s="76"/>
      <c r="Q28" s="78"/>
      <c r="R28" s="79"/>
      <c r="S28" s="80"/>
      <c r="T28" s="17"/>
      <c r="U28" s="41">
        <f t="shared" si="13"/>
        <v>0</v>
      </c>
      <c r="V28" s="41">
        <f t="shared" si="3"/>
        <v>0</v>
      </c>
      <c r="W28" s="41">
        <f t="shared" si="4"/>
        <v>0</v>
      </c>
      <c r="X28" s="41">
        <f t="shared" si="5"/>
        <v>0</v>
      </c>
      <c r="Y28" s="41">
        <f t="shared" si="6"/>
        <v>0</v>
      </c>
      <c r="Z28" s="41">
        <f t="shared" si="7"/>
        <v>0</v>
      </c>
      <c r="AA28" s="41">
        <f t="shared" si="8"/>
        <v>0</v>
      </c>
      <c r="AB28" s="129"/>
      <c r="AC28" s="113"/>
    </row>
    <row r="29" spans="1:29" ht="15.75">
      <c r="A29" s="191">
        <f t="shared" si="12"/>
        <v>44662</v>
      </c>
      <c r="B29" s="191">
        <f t="shared" si="9"/>
        <v>44202</v>
      </c>
      <c r="C29" s="39" t="str">
        <f t="shared" si="10"/>
        <v>dom</v>
      </c>
      <c r="D29" s="196"/>
      <c r="E29" s="197"/>
      <c r="F29" s="197"/>
      <c r="G29" s="197"/>
      <c r="H29" s="197"/>
      <c r="I29" s="197"/>
      <c r="J29" s="197"/>
      <c r="K29" s="193"/>
      <c r="L29" s="75">
        <f t="shared" si="0"/>
        <v>0</v>
      </c>
      <c r="M29" s="118">
        <f t="shared" si="1"/>
        <v>0</v>
      </c>
      <c r="N29" s="194"/>
      <c r="O29" s="77">
        <f t="shared" si="11"/>
        <v>0</v>
      </c>
      <c r="P29" s="76"/>
      <c r="Q29" s="78"/>
      <c r="R29" s="79"/>
      <c r="S29" s="80"/>
      <c r="T29" s="17"/>
      <c r="U29" s="41">
        <f t="shared" si="13"/>
        <v>0</v>
      </c>
      <c r="V29" s="41">
        <f t="shared" si="3"/>
        <v>0</v>
      </c>
      <c r="W29" s="41">
        <f t="shared" si="4"/>
        <v>0</v>
      </c>
      <c r="X29" s="41">
        <f t="shared" si="5"/>
        <v>0</v>
      </c>
      <c r="Y29" s="41">
        <f t="shared" si="6"/>
        <v>0</v>
      </c>
      <c r="Z29" s="41">
        <f t="shared" si="7"/>
        <v>0</v>
      </c>
      <c r="AA29" s="41">
        <f t="shared" si="8"/>
        <v>0</v>
      </c>
      <c r="AB29" s="129"/>
      <c r="AC29" s="113"/>
    </row>
    <row r="30" spans="1:29" ht="15.75">
      <c r="A30" s="191">
        <f t="shared" si="12"/>
        <v>44663</v>
      </c>
      <c r="B30" s="191">
        <f t="shared" si="9"/>
        <v>44203</v>
      </c>
      <c r="C30" s="39" t="str">
        <f t="shared" si="10"/>
        <v>seg</v>
      </c>
      <c r="D30" s="196"/>
      <c r="E30" s="197"/>
      <c r="F30" s="197"/>
      <c r="G30" s="197"/>
      <c r="H30" s="197"/>
      <c r="I30" s="197"/>
      <c r="J30" s="197"/>
      <c r="K30" s="193"/>
      <c r="L30" s="75">
        <f t="shared" si="0"/>
        <v>0</v>
      </c>
      <c r="M30" s="118">
        <f t="shared" si="1"/>
        <v>0</v>
      </c>
      <c r="N30" s="194"/>
      <c r="O30" s="77">
        <f t="shared" si="11"/>
        <v>0</v>
      </c>
      <c r="P30" s="76"/>
      <c r="Q30" s="78"/>
      <c r="R30" s="79"/>
      <c r="S30" s="80"/>
      <c r="T30" s="17"/>
      <c r="U30" s="41">
        <f t="shared" si="13"/>
        <v>0</v>
      </c>
      <c r="V30" s="41">
        <f t="shared" si="3"/>
        <v>0</v>
      </c>
      <c r="W30" s="41">
        <f t="shared" si="4"/>
        <v>0</v>
      </c>
      <c r="X30" s="41">
        <f t="shared" si="5"/>
        <v>0</v>
      </c>
      <c r="Y30" s="41">
        <f t="shared" si="6"/>
        <v>0</v>
      </c>
      <c r="Z30" s="41">
        <f t="shared" si="7"/>
        <v>0</v>
      </c>
      <c r="AA30" s="41">
        <f t="shared" si="8"/>
        <v>0</v>
      </c>
      <c r="AB30" s="129"/>
      <c r="AC30" s="113"/>
    </row>
    <row r="31" spans="1:29" ht="15.75">
      <c r="A31" s="191">
        <f t="shared" si="12"/>
        <v>44664</v>
      </c>
      <c r="B31" s="191">
        <f t="shared" si="9"/>
        <v>44204</v>
      </c>
      <c r="C31" s="39" t="str">
        <f t="shared" si="10"/>
        <v>ter</v>
      </c>
      <c r="D31" s="196"/>
      <c r="E31" s="197"/>
      <c r="F31" s="197"/>
      <c r="G31" s="197"/>
      <c r="H31" s="197"/>
      <c r="I31" s="197"/>
      <c r="J31" s="197"/>
      <c r="K31" s="193"/>
      <c r="L31" s="75">
        <f t="shared" si="0"/>
        <v>0</v>
      </c>
      <c r="M31" s="118">
        <f t="shared" si="1"/>
        <v>0</v>
      </c>
      <c r="N31" s="194"/>
      <c r="O31" s="77">
        <f t="shared" si="11"/>
        <v>0</v>
      </c>
      <c r="P31" s="76"/>
      <c r="Q31" s="78"/>
      <c r="R31" s="79"/>
      <c r="S31" s="80"/>
      <c r="T31" s="17"/>
      <c r="U31" s="41">
        <f t="shared" si="13"/>
        <v>0</v>
      </c>
      <c r="V31" s="41">
        <f t="shared" si="3"/>
        <v>0</v>
      </c>
      <c r="W31" s="41">
        <f t="shared" si="4"/>
        <v>0</v>
      </c>
      <c r="X31" s="41">
        <f t="shared" si="5"/>
        <v>0</v>
      </c>
      <c r="Y31" s="41">
        <f t="shared" si="6"/>
        <v>0</v>
      </c>
      <c r="Z31" s="41">
        <f t="shared" si="7"/>
        <v>0</v>
      </c>
      <c r="AA31" s="41">
        <f t="shared" si="8"/>
        <v>0</v>
      </c>
      <c r="AB31" s="129"/>
      <c r="AC31" s="113"/>
    </row>
    <row r="32" spans="1:29" ht="15.75">
      <c r="A32" s="191">
        <f t="shared" si="12"/>
        <v>44665</v>
      </c>
      <c r="B32" s="191">
        <f t="shared" si="9"/>
        <v>44205</v>
      </c>
      <c r="C32" s="39" t="str">
        <f t="shared" si="10"/>
        <v>qua</v>
      </c>
      <c r="D32" s="196"/>
      <c r="E32" s="197"/>
      <c r="F32" s="197"/>
      <c r="G32" s="197"/>
      <c r="H32" s="197"/>
      <c r="I32" s="197"/>
      <c r="J32" s="197"/>
      <c r="K32" s="193"/>
      <c r="L32" s="75">
        <f t="shared" si="0"/>
        <v>0</v>
      </c>
      <c r="M32" s="118">
        <f t="shared" si="1"/>
        <v>0</v>
      </c>
      <c r="N32" s="194"/>
      <c r="O32" s="77">
        <f t="shared" si="11"/>
        <v>0</v>
      </c>
      <c r="P32" s="76"/>
      <c r="Q32" s="78"/>
      <c r="R32" s="79"/>
      <c r="S32" s="80"/>
      <c r="T32" s="17"/>
      <c r="U32" s="41">
        <f t="shared" si="13"/>
        <v>0</v>
      </c>
      <c r="V32" s="41">
        <f t="shared" si="3"/>
        <v>0</v>
      </c>
      <c r="W32" s="41">
        <f t="shared" si="4"/>
        <v>0</v>
      </c>
      <c r="X32" s="41">
        <f t="shared" si="5"/>
        <v>0</v>
      </c>
      <c r="Y32" s="41">
        <f t="shared" si="6"/>
        <v>0</v>
      </c>
      <c r="Z32" s="41">
        <f t="shared" si="7"/>
        <v>0</v>
      </c>
      <c r="AA32" s="41">
        <f t="shared" si="8"/>
        <v>0</v>
      </c>
      <c r="AB32" s="129"/>
      <c r="AC32" s="113"/>
    </row>
    <row r="33" spans="1:30" ht="15.75">
      <c r="A33" s="191">
        <f t="shared" si="12"/>
        <v>44666</v>
      </c>
      <c r="B33" s="191">
        <f t="shared" si="9"/>
        <v>44206</v>
      </c>
      <c r="C33" s="39" t="str">
        <f t="shared" si="10"/>
        <v>qui</v>
      </c>
      <c r="D33" s="196"/>
      <c r="E33" s="197"/>
      <c r="F33" s="197"/>
      <c r="G33" s="197"/>
      <c r="H33" s="197"/>
      <c r="I33" s="197"/>
      <c r="J33" s="197"/>
      <c r="K33" s="193"/>
      <c r="L33" s="75">
        <f t="shared" si="0"/>
        <v>0</v>
      </c>
      <c r="M33" s="118">
        <f t="shared" si="1"/>
        <v>0</v>
      </c>
      <c r="N33" s="194"/>
      <c r="O33" s="77">
        <f t="shared" si="11"/>
        <v>0</v>
      </c>
      <c r="P33" s="76"/>
      <c r="Q33" s="78"/>
      <c r="R33" s="79"/>
      <c r="S33" s="80"/>
      <c r="T33" s="17"/>
      <c r="U33" s="41">
        <f t="shared" si="13"/>
        <v>0</v>
      </c>
      <c r="V33" s="41">
        <f t="shared" si="3"/>
        <v>0</v>
      </c>
      <c r="W33" s="41">
        <f t="shared" si="4"/>
        <v>0</v>
      </c>
      <c r="X33" s="41">
        <f t="shared" si="5"/>
        <v>0</v>
      </c>
      <c r="Y33" s="41">
        <f t="shared" si="6"/>
        <v>0</v>
      </c>
      <c r="Z33" s="41">
        <f t="shared" si="7"/>
        <v>0</v>
      </c>
      <c r="AA33" s="41">
        <f t="shared" si="8"/>
        <v>0</v>
      </c>
      <c r="AB33" s="129"/>
      <c r="AC33" s="113"/>
    </row>
    <row r="34" spans="1:30" ht="15.75">
      <c r="A34" s="191">
        <f t="shared" si="12"/>
        <v>44667</v>
      </c>
      <c r="B34" s="191">
        <f t="shared" si="9"/>
        <v>44207</v>
      </c>
      <c r="C34" s="39" t="str">
        <f t="shared" si="10"/>
        <v>sex</v>
      </c>
      <c r="D34" s="196"/>
      <c r="E34" s="197"/>
      <c r="F34" s="197"/>
      <c r="G34" s="197"/>
      <c r="H34" s="197"/>
      <c r="I34" s="197"/>
      <c r="J34" s="197"/>
      <c r="K34" s="198"/>
      <c r="L34" s="199">
        <f t="shared" si="0"/>
        <v>0</v>
      </c>
      <c r="M34" s="118">
        <f t="shared" si="1"/>
        <v>0</v>
      </c>
      <c r="N34" s="194"/>
      <c r="O34" s="77">
        <f t="shared" si="11"/>
        <v>0</v>
      </c>
      <c r="P34" s="76"/>
      <c r="Q34" s="78"/>
      <c r="R34" s="79"/>
      <c r="S34" s="80"/>
      <c r="T34" s="17"/>
      <c r="U34" s="41">
        <f t="shared" si="13"/>
        <v>0</v>
      </c>
      <c r="V34" s="41">
        <f t="shared" si="3"/>
        <v>0</v>
      </c>
      <c r="W34" s="41">
        <f t="shared" si="4"/>
        <v>0</v>
      </c>
      <c r="X34" s="41">
        <f t="shared" si="5"/>
        <v>0</v>
      </c>
      <c r="Y34" s="41">
        <f t="shared" si="6"/>
        <v>0</v>
      </c>
      <c r="Z34" s="41">
        <f t="shared" si="7"/>
        <v>0</v>
      </c>
      <c r="AA34" s="41">
        <f t="shared" si="8"/>
        <v>0</v>
      </c>
      <c r="AB34" s="129"/>
      <c r="AC34" s="113"/>
    </row>
    <row r="35" spans="1:30" ht="15.75">
      <c r="A35" s="191">
        <f t="shared" si="12"/>
        <v>44668</v>
      </c>
      <c r="B35" s="191">
        <f t="shared" si="9"/>
        <v>44208</v>
      </c>
      <c r="C35" s="39" t="str">
        <f t="shared" si="10"/>
        <v>sáb</v>
      </c>
      <c r="D35" s="196"/>
      <c r="E35" s="197"/>
      <c r="F35" s="197"/>
      <c r="G35" s="197"/>
      <c r="H35" s="197"/>
      <c r="I35" s="197"/>
      <c r="J35" s="197"/>
      <c r="K35" s="198"/>
      <c r="L35" s="199">
        <f t="shared" si="0"/>
        <v>0</v>
      </c>
      <c r="M35" s="118">
        <f t="shared" si="1"/>
        <v>0</v>
      </c>
      <c r="N35" s="194"/>
      <c r="O35" s="77">
        <f t="shared" si="11"/>
        <v>0</v>
      </c>
      <c r="P35" s="76"/>
      <c r="Q35" s="78"/>
      <c r="R35" s="79"/>
      <c r="S35" s="80"/>
      <c r="T35" s="17"/>
      <c r="U35" s="41">
        <f t="shared" si="13"/>
        <v>0</v>
      </c>
      <c r="V35" s="41">
        <f t="shared" si="3"/>
        <v>0</v>
      </c>
      <c r="W35" s="41">
        <f t="shared" si="4"/>
        <v>0</v>
      </c>
      <c r="X35" s="41">
        <f t="shared" si="5"/>
        <v>0</v>
      </c>
      <c r="Y35" s="41">
        <f t="shared" si="6"/>
        <v>0</v>
      </c>
      <c r="Z35" s="41">
        <f t="shared" si="7"/>
        <v>0</v>
      </c>
      <c r="AA35" s="41">
        <f t="shared" si="8"/>
        <v>0</v>
      </c>
      <c r="AB35" s="129"/>
      <c r="AC35" s="113"/>
    </row>
    <row r="36" spans="1:30" ht="15.75">
      <c r="A36" s="191">
        <f t="shared" si="12"/>
        <v>44669</v>
      </c>
      <c r="B36" s="191">
        <f t="shared" si="9"/>
        <v>44209</v>
      </c>
      <c r="C36" s="39" t="str">
        <f t="shared" si="10"/>
        <v>dom</v>
      </c>
      <c r="D36" s="196"/>
      <c r="E36" s="197"/>
      <c r="F36" s="197"/>
      <c r="G36" s="197"/>
      <c r="H36" s="197"/>
      <c r="I36" s="197"/>
      <c r="J36" s="197"/>
      <c r="K36" s="198"/>
      <c r="L36" s="199">
        <f t="shared" si="0"/>
        <v>0</v>
      </c>
      <c r="M36" s="118">
        <f t="shared" si="1"/>
        <v>0</v>
      </c>
      <c r="N36" s="194"/>
      <c r="O36" s="77">
        <f t="shared" si="11"/>
        <v>0</v>
      </c>
      <c r="P36" s="76"/>
      <c r="Q36" s="78"/>
      <c r="R36" s="79"/>
      <c r="S36" s="80"/>
      <c r="T36" s="17"/>
      <c r="U36" s="41">
        <f t="shared" si="13"/>
        <v>0</v>
      </c>
      <c r="V36" s="41">
        <f t="shared" si="3"/>
        <v>0</v>
      </c>
      <c r="W36" s="41">
        <f t="shared" si="4"/>
        <v>0</v>
      </c>
      <c r="X36" s="41">
        <f t="shared" si="5"/>
        <v>0</v>
      </c>
      <c r="Y36" s="41">
        <f t="shared" si="6"/>
        <v>0</v>
      </c>
      <c r="Z36" s="41">
        <f t="shared" si="7"/>
        <v>0</v>
      </c>
      <c r="AA36" s="41">
        <f t="shared" si="8"/>
        <v>0</v>
      </c>
      <c r="AB36" s="129"/>
      <c r="AC36" s="113"/>
    </row>
    <row r="37" spans="1:30" ht="15.75">
      <c r="A37" s="191">
        <f t="shared" si="12"/>
        <v>44670</v>
      </c>
      <c r="B37" s="191">
        <f t="shared" si="9"/>
        <v>44210</v>
      </c>
      <c r="C37" s="39" t="str">
        <f t="shared" si="10"/>
        <v>seg</v>
      </c>
      <c r="D37" s="196"/>
      <c r="E37" s="197"/>
      <c r="F37" s="197"/>
      <c r="G37" s="197"/>
      <c r="H37" s="197"/>
      <c r="I37" s="197"/>
      <c r="J37" s="197"/>
      <c r="K37" s="198"/>
      <c r="L37" s="199">
        <f t="shared" si="0"/>
        <v>0</v>
      </c>
      <c r="M37" s="118">
        <f t="shared" si="1"/>
        <v>0</v>
      </c>
      <c r="N37" s="194"/>
      <c r="O37" s="77">
        <f t="shared" si="11"/>
        <v>0</v>
      </c>
      <c r="P37" s="76"/>
      <c r="Q37" s="78"/>
      <c r="R37" s="79"/>
      <c r="S37" s="80"/>
      <c r="T37" s="17"/>
      <c r="U37" s="41">
        <f t="shared" si="13"/>
        <v>0</v>
      </c>
      <c r="V37" s="41">
        <f t="shared" si="3"/>
        <v>0</v>
      </c>
      <c r="W37" s="41">
        <f t="shared" si="4"/>
        <v>0</v>
      </c>
      <c r="X37" s="41">
        <f t="shared" si="5"/>
        <v>0</v>
      </c>
      <c r="Y37" s="41">
        <f t="shared" si="6"/>
        <v>0</v>
      </c>
      <c r="Z37" s="41">
        <f t="shared" si="7"/>
        <v>0</v>
      </c>
      <c r="AA37" s="41">
        <f t="shared" si="8"/>
        <v>0</v>
      </c>
      <c r="AB37" s="129"/>
      <c r="AC37" s="113"/>
    </row>
    <row r="38" spans="1:30" ht="15.75">
      <c r="A38" s="191">
        <f t="shared" si="12"/>
        <v>44671</v>
      </c>
      <c r="B38" s="191">
        <f t="shared" si="9"/>
        <v>44211</v>
      </c>
      <c r="C38" s="39" t="str">
        <f t="shared" si="10"/>
        <v>ter</v>
      </c>
      <c r="D38" s="196"/>
      <c r="E38" s="197"/>
      <c r="F38" s="197"/>
      <c r="G38" s="197"/>
      <c r="H38" s="197"/>
      <c r="I38" s="197"/>
      <c r="J38" s="197"/>
      <c r="K38" s="198"/>
      <c r="L38" s="199">
        <f t="shared" si="0"/>
        <v>0</v>
      </c>
      <c r="M38" s="118">
        <f t="shared" si="1"/>
        <v>0</v>
      </c>
      <c r="N38" s="194"/>
      <c r="O38" s="77">
        <f t="shared" si="11"/>
        <v>0</v>
      </c>
      <c r="P38" s="76"/>
      <c r="Q38" s="78"/>
      <c r="R38" s="79"/>
      <c r="S38" s="80"/>
      <c r="T38" s="17"/>
      <c r="U38" s="41">
        <f t="shared" si="13"/>
        <v>0</v>
      </c>
      <c r="V38" s="41">
        <f t="shared" si="3"/>
        <v>0</v>
      </c>
      <c r="W38" s="41">
        <f t="shared" si="4"/>
        <v>0</v>
      </c>
      <c r="X38" s="41">
        <f t="shared" si="5"/>
        <v>0</v>
      </c>
      <c r="Y38" s="41">
        <f t="shared" si="6"/>
        <v>0</v>
      </c>
      <c r="Z38" s="41">
        <f t="shared" si="7"/>
        <v>0</v>
      </c>
      <c r="AA38" s="41">
        <f t="shared" si="8"/>
        <v>0</v>
      </c>
      <c r="AB38" s="129"/>
      <c r="AC38" s="113"/>
    </row>
    <row r="39" spans="1:30" ht="15.75">
      <c r="A39" s="191">
        <f t="shared" si="12"/>
        <v>44672</v>
      </c>
      <c r="B39" s="191">
        <f t="shared" si="9"/>
        <v>44212</v>
      </c>
      <c r="C39" s="39" t="str">
        <f t="shared" si="10"/>
        <v>qua</v>
      </c>
      <c r="D39" s="196"/>
      <c r="E39" s="197"/>
      <c r="F39" s="197"/>
      <c r="G39" s="197"/>
      <c r="H39" s="197"/>
      <c r="I39" s="197"/>
      <c r="J39" s="197"/>
      <c r="K39" s="198"/>
      <c r="L39" s="199">
        <f t="shared" si="0"/>
        <v>0</v>
      </c>
      <c r="M39" s="118">
        <f t="shared" si="1"/>
        <v>0</v>
      </c>
      <c r="N39" s="194"/>
      <c r="O39" s="77">
        <f t="shared" si="11"/>
        <v>0</v>
      </c>
      <c r="P39" s="76"/>
      <c r="Q39" s="78"/>
      <c r="R39" s="79"/>
      <c r="S39" s="80"/>
      <c r="T39" s="17"/>
      <c r="U39" s="41">
        <f t="shared" si="13"/>
        <v>0</v>
      </c>
      <c r="V39" s="41">
        <f t="shared" si="3"/>
        <v>0</v>
      </c>
      <c r="W39" s="41">
        <f t="shared" si="4"/>
        <v>0</v>
      </c>
      <c r="X39" s="41">
        <f t="shared" si="5"/>
        <v>0</v>
      </c>
      <c r="Y39" s="41">
        <f t="shared" si="6"/>
        <v>0</v>
      </c>
      <c r="Z39" s="41">
        <f t="shared" si="7"/>
        <v>0</v>
      </c>
      <c r="AA39" s="41">
        <f t="shared" si="8"/>
        <v>0</v>
      </c>
      <c r="AB39" s="129"/>
      <c r="AC39" s="113"/>
    </row>
    <row r="40" spans="1:30" ht="15.75">
      <c r="A40" s="191">
        <f t="shared" si="12"/>
        <v>44673</v>
      </c>
      <c r="B40" s="191">
        <f t="shared" si="9"/>
        <v>44213</v>
      </c>
      <c r="C40" s="39" t="str">
        <f t="shared" si="10"/>
        <v>qui</v>
      </c>
      <c r="D40" s="196"/>
      <c r="E40" s="197"/>
      <c r="F40" s="197"/>
      <c r="G40" s="197"/>
      <c r="H40" s="197"/>
      <c r="I40" s="197"/>
      <c r="J40" s="197"/>
      <c r="K40" s="198"/>
      <c r="L40" s="199">
        <f t="shared" si="0"/>
        <v>0</v>
      </c>
      <c r="M40" s="118">
        <f t="shared" si="1"/>
        <v>0</v>
      </c>
      <c r="N40" s="194"/>
      <c r="O40" s="77">
        <f t="shared" si="11"/>
        <v>0</v>
      </c>
      <c r="P40" s="76"/>
      <c r="Q40" s="78"/>
      <c r="R40" s="79"/>
      <c r="S40" s="80"/>
      <c r="T40" s="17"/>
      <c r="U40" s="41">
        <f t="shared" si="13"/>
        <v>0</v>
      </c>
      <c r="V40" s="41">
        <f t="shared" si="3"/>
        <v>0</v>
      </c>
      <c r="W40" s="41">
        <f t="shared" si="4"/>
        <v>0</v>
      </c>
      <c r="X40" s="41">
        <f t="shared" si="5"/>
        <v>0</v>
      </c>
      <c r="Y40" s="41">
        <f t="shared" si="6"/>
        <v>0</v>
      </c>
      <c r="Z40" s="41">
        <f t="shared" si="7"/>
        <v>0</v>
      </c>
      <c r="AA40" s="41">
        <f t="shared" si="8"/>
        <v>0</v>
      </c>
      <c r="AB40" s="129"/>
      <c r="AC40" s="113"/>
    </row>
    <row r="41" spans="1:30" ht="15.75">
      <c r="A41" s="191">
        <f t="shared" si="12"/>
        <v>44674</v>
      </c>
      <c r="B41" s="191">
        <f t="shared" si="9"/>
        <v>44214</v>
      </c>
      <c r="C41" s="39" t="str">
        <f t="shared" ref="C41" si="14">TEXT(A41,"ddd")</f>
        <v>sex</v>
      </c>
      <c r="D41" s="196"/>
      <c r="E41" s="197"/>
      <c r="F41" s="197"/>
      <c r="G41" s="197"/>
      <c r="H41" s="197"/>
      <c r="I41" s="197"/>
      <c r="J41" s="197"/>
      <c r="K41" s="198"/>
      <c r="L41" s="199">
        <f t="shared" ref="L41" si="15">IFERROR((F41-E41)+(H41-G41)+(J41-I41)-K41,0)</f>
        <v>0</v>
      </c>
      <c r="M41" s="118">
        <f t="shared" ref="M41" si="16">IFERROR(J41-E41,0)</f>
        <v>0</v>
      </c>
      <c r="N41" s="194"/>
      <c r="O41" s="77">
        <f t="shared" ref="O41:O42" si="17">U41</f>
        <v>0</v>
      </c>
      <c r="P41" s="76"/>
      <c r="Q41" s="78"/>
      <c r="R41" s="79"/>
      <c r="S41" s="80"/>
      <c r="T41" s="17"/>
      <c r="U41" s="41">
        <f t="shared" si="13"/>
        <v>0</v>
      </c>
      <c r="V41" s="41">
        <f t="shared" si="3"/>
        <v>0</v>
      </c>
      <c r="W41" s="41">
        <f t="shared" si="4"/>
        <v>0</v>
      </c>
      <c r="X41" s="41">
        <f t="shared" si="5"/>
        <v>0</v>
      </c>
      <c r="Y41" s="41">
        <f t="shared" si="6"/>
        <v>0</v>
      </c>
      <c r="Z41" s="41">
        <f t="shared" si="7"/>
        <v>0</v>
      </c>
      <c r="AA41" s="41">
        <f t="shared" si="8"/>
        <v>0</v>
      </c>
      <c r="AB41" s="129"/>
      <c r="AC41" s="113"/>
    </row>
    <row r="42" spans="1:30" ht="15.75">
      <c r="A42" s="191">
        <f t="shared" si="12"/>
        <v>44675</v>
      </c>
      <c r="B42" s="191">
        <f t="shared" si="9"/>
        <v>44215</v>
      </c>
      <c r="C42" s="39" t="str">
        <f t="shared" ref="C42" si="18">TEXT(A42,"ddd")</f>
        <v>sáb</v>
      </c>
      <c r="D42" s="196"/>
      <c r="E42" s="197"/>
      <c r="F42" s="197"/>
      <c r="G42" s="197"/>
      <c r="H42" s="197"/>
      <c r="I42" s="197"/>
      <c r="J42" s="197"/>
      <c r="K42" s="198"/>
      <c r="L42" s="199">
        <f t="shared" ref="L42" si="19">IFERROR((F42-E42)+(H42-G42)+(J42-I42)-K42,0)</f>
        <v>0</v>
      </c>
      <c r="M42" s="118">
        <f t="shared" ref="M42" si="20">IFERROR(J42-E42,0)</f>
        <v>0</v>
      </c>
      <c r="N42" s="194"/>
      <c r="O42" s="77">
        <f t="shared" si="17"/>
        <v>0</v>
      </c>
      <c r="P42" s="76"/>
      <c r="Q42" s="78"/>
      <c r="R42" s="79"/>
      <c r="S42" s="80"/>
      <c r="T42" s="17"/>
      <c r="U42" s="41">
        <f t="shared" si="13"/>
        <v>0</v>
      </c>
      <c r="V42" s="41">
        <f t="shared" si="3"/>
        <v>0</v>
      </c>
      <c r="W42" s="41">
        <f t="shared" si="4"/>
        <v>0</v>
      </c>
      <c r="X42" s="41">
        <f t="shared" si="5"/>
        <v>0</v>
      </c>
      <c r="Y42" s="41">
        <f t="shared" si="6"/>
        <v>0</v>
      </c>
      <c r="Z42" s="41">
        <f t="shared" si="7"/>
        <v>0</v>
      </c>
      <c r="AA42" s="41">
        <f t="shared" si="8"/>
        <v>0</v>
      </c>
      <c r="AB42" s="129"/>
      <c r="AC42" s="113"/>
    </row>
    <row r="43" spans="1:30" ht="17.25">
      <c r="A43" s="223" t="s">
        <v>51</v>
      </c>
      <c r="B43" s="224"/>
      <c r="C43" s="224"/>
      <c r="D43" s="224"/>
      <c r="E43" s="224"/>
      <c r="F43" s="224"/>
      <c r="G43" s="224"/>
      <c r="H43" s="224"/>
      <c r="I43" s="224"/>
      <c r="J43" s="224"/>
      <c r="K43" s="225"/>
      <c r="L43" s="84">
        <f>SUM(L12:L42)</f>
        <v>0</v>
      </c>
      <c r="M43" s="84"/>
      <c r="N43" s="85">
        <f>SUM(N12:N42)</f>
        <v>0</v>
      </c>
      <c r="O43" s="86">
        <f>SUM(O12:O42)</f>
        <v>0</v>
      </c>
      <c r="P43" s="195">
        <f>SUM(P12:P42)</f>
        <v>0</v>
      </c>
      <c r="Q43" s="226"/>
      <c r="R43" s="227"/>
      <c r="S43" s="228"/>
      <c r="T43" s="17"/>
      <c r="U43" s="17"/>
      <c r="V43" s="17"/>
      <c r="W43" s="17"/>
      <c r="X43" s="17"/>
      <c r="Y43" s="17"/>
      <c r="Z43" s="17"/>
      <c r="AA43" s="17"/>
      <c r="AB43" s="17"/>
      <c r="AC43" s="117"/>
    </row>
    <row r="44" spans="1:30">
      <c r="A44" s="33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19">
        <v>9.1666666666666696</v>
      </c>
      <c r="M44" s="119"/>
      <c r="N44" s="17"/>
      <c r="O44" s="17"/>
      <c r="P44" s="63"/>
      <c r="Q44" s="17"/>
      <c r="R44" s="89"/>
      <c r="S44" s="17"/>
      <c r="T44" s="253"/>
      <c r="U44" s="254"/>
      <c r="V44" s="254"/>
      <c r="W44" s="17"/>
      <c r="X44" s="17"/>
      <c r="Y44" s="17"/>
      <c r="Z44" s="17"/>
      <c r="AA44" s="17"/>
      <c r="AB44" s="17"/>
      <c r="AC44" s="17"/>
      <c r="AD44" s="17"/>
    </row>
    <row r="45" spans="1:30">
      <c r="A45" s="255" t="s">
        <v>52</v>
      </c>
      <c r="B45" s="256"/>
      <c r="C45" s="257"/>
      <c r="D45" s="261">
        <f>COUNTIF($E$12:$E$42,"FALTA")</f>
        <v>0</v>
      </c>
      <c r="E45" s="262"/>
      <c r="F45" s="265" t="s">
        <v>53</v>
      </c>
      <c r="G45" s="265"/>
      <c r="H45" s="265"/>
      <c r="I45" s="265"/>
      <c r="J45" s="265"/>
      <c r="K45" s="265"/>
      <c r="L45" s="265"/>
      <c r="M45" s="265"/>
      <c r="N45" s="265"/>
      <c r="O45" s="265"/>
      <c r="P45" s="255" t="s">
        <v>54</v>
      </c>
      <c r="Q45" s="265"/>
      <c r="R45" s="265"/>
      <c r="S45" s="267"/>
      <c r="T45" s="253"/>
      <c r="U45" s="254"/>
      <c r="V45" s="254"/>
      <c r="W45" s="17"/>
      <c r="X45" s="17"/>
      <c r="Y45" s="17"/>
      <c r="Z45" s="17"/>
      <c r="AA45" s="17"/>
      <c r="AB45" s="17"/>
      <c r="AC45" s="17"/>
      <c r="AD45" s="17"/>
    </row>
    <row r="46" spans="1:30">
      <c r="A46" s="258"/>
      <c r="B46" s="259"/>
      <c r="C46" s="260"/>
      <c r="D46" s="263"/>
      <c r="E46" s="264"/>
      <c r="F46" s="266"/>
      <c r="G46" s="266"/>
      <c r="H46" s="266"/>
      <c r="I46" s="266"/>
      <c r="J46" s="266"/>
      <c r="K46" s="266"/>
      <c r="L46" s="266"/>
      <c r="M46" s="266"/>
      <c r="N46" s="266"/>
      <c r="O46" s="266"/>
      <c r="P46" s="268"/>
      <c r="Q46" s="269"/>
      <c r="R46" s="269"/>
      <c r="S46" s="270"/>
      <c r="T46" s="253"/>
      <c r="U46" s="254"/>
      <c r="V46" s="254"/>
      <c r="W46" s="17"/>
      <c r="X46" s="17"/>
      <c r="Y46" s="17"/>
      <c r="Z46" s="17"/>
      <c r="AA46" s="17"/>
      <c r="AB46" s="17"/>
      <c r="AC46" s="17"/>
      <c r="AD46" s="17"/>
    </row>
    <row r="47" spans="1:30">
      <c r="A47" s="49"/>
      <c r="B47" s="50"/>
      <c r="C47" s="51"/>
      <c r="D47" s="51"/>
      <c r="E47" s="51"/>
      <c r="F47" s="47"/>
      <c r="G47" s="45"/>
      <c r="H47" s="45"/>
      <c r="I47" s="45"/>
      <c r="J47" s="45"/>
      <c r="K47" s="45"/>
      <c r="L47" s="45"/>
      <c r="M47" s="45"/>
      <c r="N47" s="45"/>
      <c r="O47" s="52"/>
      <c r="P47" s="209"/>
      <c r="Q47" s="253"/>
      <c r="R47" s="253"/>
      <c r="S47" s="271"/>
      <c r="T47" s="209"/>
      <c r="U47" s="253"/>
      <c r="V47" s="253"/>
      <c r="W47" s="17"/>
      <c r="X47" s="17"/>
      <c r="Y47" s="17"/>
      <c r="Z47" s="17"/>
      <c r="AA47" s="17"/>
      <c r="AB47" s="17"/>
      <c r="AC47" s="17"/>
      <c r="AD47" s="17"/>
    </row>
    <row r="48" spans="1:30">
      <c r="A48" s="255" t="s">
        <v>55</v>
      </c>
      <c r="B48" s="265"/>
      <c r="C48" s="267"/>
      <c r="D48" s="261">
        <f>COUNTIF($E$12:$E$42,"FOLGA")</f>
        <v>0</v>
      </c>
      <c r="E48" s="277"/>
      <c r="F48" s="207" t="s">
        <v>56</v>
      </c>
      <c r="G48" s="279"/>
      <c r="H48" s="90"/>
      <c r="I48" s="280">
        <f>COUNTIF($E$12:$E$42,"SUSPENSÃO")</f>
        <v>0</v>
      </c>
      <c r="J48" s="281"/>
      <c r="K48" s="207" t="s">
        <v>57</v>
      </c>
      <c r="L48" s="208"/>
      <c r="M48" s="208"/>
      <c r="N48" s="279"/>
      <c r="O48" s="284">
        <f>COUNTIF($E$12:$E$42,"ADVERTENCIA")</f>
        <v>0</v>
      </c>
      <c r="P48" s="272"/>
      <c r="Q48" s="273"/>
      <c r="R48" s="273"/>
      <c r="S48" s="274"/>
      <c r="T48" s="209"/>
      <c r="U48" s="253"/>
      <c r="V48" s="253"/>
      <c r="W48" s="17"/>
      <c r="X48" s="17"/>
      <c r="Y48" s="17"/>
      <c r="Z48" s="17"/>
      <c r="AA48" s="17"/>
      <c r="AB48" s="17"/>
      <c r="AC48" s="17"/>
      <c r="AD48" s="17"/>
    </row>
    <row r="49" spans="1:30">
      <c r="A49" s="275"/>
      <c r="B49" s="266"/>
      <c r="C49" s="276"/>
      <c r="D49" s="263"/>
      <c r="E49" s="278"/>
      <c r="F49" s="272"/>
      <c r="G49" s="274"/>
      <c r="H49" s="90"/>
      <c r="I49" s="282"/>
      <c r="J49" s="283"/>
      <c r="K49" s="272"/>
      <c r="L49" s="273"/>
      <c r="M49" s="273"/>
      <c r="N49" s="274"/>
      <c r="O49" s="285"/>
      <c r="P49" s="292" t="s">
        <v>58</v>
      </c>
      <c r="Q49" s="253"/>
      <c r="R49" s="253"/>
      <c r="S49" s="293"/>
      <c r="T49" s="253" t="s">
        <v>59</v>
      </c>
      <c r="U49" s="254"/>
      <c r="V49" s="254"/>
      <c r="W49" s="17"/>
      <c r="X49" s="17"/>
      <c r="Y49" s="17"/>
      <c r="Z49" s="17"/>
      <c r="AA49" s="17"/>
      <c r="AB49" s="17"/>
      <c r="AC49" s="17"/>
      <c r="AD49" s="17"/>
    </row>
    <row r="50" spans="1:30">
      <c r="A50" s="33"/>
      <c r="B50" s="16"/>
      <c r="C50" s="17"/>
      <c r="D50" s="17"/>
      <c r="E50" s="17"/>
      <c r="F50" s="17"/>
      <c r="G50" s="17"/>
      <c r="H50" s="17"/>
      <c r="I50" s="17"/>
      <c r="J50" s="20" t="s">
        <v>60</v>
      </c>
      <c r="K50" s="20"/>
      <c r="L50" s="16" t="s">
        <v>61</v>
      </c>
      <c r="M50" s="16"/>
      <c r="N50" s="17"/>
      <c r="O50" s="17"/>
      <c r="P50" s="268"/>
      <c r="Q50" s="269"/>
      <c r="R50" s="269"/>
      <c r="S50" s="270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spans="1:30" ht="17.25">
      <c r="A51" s="53" t="s">
        <v>62</v>
      </c>
      <c r="B51" s="54"/>
      <c r="C51" s="45"/>
      <c r="D51" s="45"/>
      <c r="E51" s="45"/>
      <c r="F51" s="45"/>
      <c r="G51" s="46"/>
      <c r="H51" s="46"/>
      <c r="I51" s="286">
        <f>(L43-L44)*40%</f>
        <v>-3.6666666666666679</v>
      </c>
      <c r="J51" s="287"/>
      <c r="K51" s="288">
        <f>I51*24</f>
        <v>-88.000000000000028</v>
      </c>
      <c r="L51" s="289"/>
      <c r="M51" s="120"/>
      <c r="N51" s="91">
        <v>21.79</v>
      </c>
      <c r="O51" s="92">
        <f>K51*N51</f>
        <v>-1917.5200000000004</v>
      </c>
      <c r="P51" s="209"/>
      <c r="Q51" s="253"/>
      <c r="R51" s="253"/>
      <c r="S51" s="271"/>
      <c r="T51" s="17"/>
      <c r="U51" s="17"/>
      <c r="V51" s="17"/>
      <c r="W51" s="17"/>
      <c r="X51" s="17"/>
      <c r="Y51" s="17"/>
      <c r="Z51" s="17"/>
      <c r="AA51" s="17"/>
      <c r="AB51" s="17"/>
    </row>
    <row r="52" spans="1:30" ht="17.25">
      <c r="A52" s="56" t="s">
        <v>63</v>
      </c>
      <c r="B52" s="16"/>
      <c r="C52" s="17"/>
      <c r="D52" s="17"/>
      <c r="E52" s="17"/>
      <c r="F52" s="17"/>
      <c r="G52" s="57"/>
      <c r="H52" s="57"/>
      <c r="I52" s="290" t="str">
        <f>IFERROR(COUNTIFS($B$17:$B$42,$J$50,$N$12:$N$42,"38,00"),"")</f>
        <v/>
      </c>
      <c r="J52" s="291"/>
      <c r="K52" s="290" t="str">
        <f>IFERROR(COUNTIFS($B$17:$B$42,$L$50,$N$12:$N$42,"38,00"),"")</f>
        <v/>
      </c>
      <c r="L52" s="291"/>
      <c r="M52" s="122"/>
      <c r="N52" s="27"/>
      <c r="O52" s="92">
        <f>SUM(N12:N42)</f>
        <v>0</v>
      </c>
      <c r="P52" s="272"/>
      <c r="Q52" s="273"/>
      <c r="R52" s="273"/>
      <c r="S52" s="274"/>
      <c r="T52" s="17"/>
      <c r="U52" s="17"/>
      <c r="V52" s="17"/>
      <c r="W52" s="17"/>
      <c r="X52" s="17"/>
      <c r="Y52" s="17"/>
      <c r="Z52" s="17"/>
      <c r="AA52" s="17"/>
      <c r="AB52" s="17"/>
    </row>
    <row r="53" spans="1:30" ht="17.25">
      <c r="A53" s="56" t="s">
        <v>64</v>
      </c>
      <c r="B53" s="16"/>
      <c r="C53" s="17"/>
      <c r="D53" s="17"/>
      <c r="E53" s="17"/>
      <c r="F53" s="17"/>
      <c r="G53" s="57"/>
      <c r="H53" s="57"/>
      <c r="I53" s="294">
        <f>COUNTIFS(P12:P42,"&lt;&gt;"&amp;"",P12:P42,"&lt;&gt;"&amp;0)</f>
        <v>0</v>
      </c>
      <c r="J53" s="295"/>
      <c r="K53" s="27"/>
      <c r="L53" s="27"/>
      <c r="M53" s="27"/>
      <c r="N53" s="27"/>
      <c r="O53" s="93">
        <f>P43</f>
        <v>0</v>
      </c>
      <c r="P53" s="292" t="s">
        <v>65</v>
      </c>
      <c r="Q53" s="253"/>
      <c r="R53" s="253"/>
      <c r="S53" s="293"/>
      <c r="T53" s="17"/>
      <c r="U53" s="17"/>
      <c r="V53" s="17"/>
      <c r="W53" s="17"/>
      <c r="X53" s="17"/>
      <c r="Y53" s="17"/>
      <c r="Z53" s="17"/>
      <c r="AA53" s="17"/>
      <c r="AB53" s="17"/>
    </row>
    <row r="54" spans="1:30" ht="17.25">
      <c r="A54" s="60" t="s">
        <v>66</v>
      </c>
      <c r="B54" s="61"/>
      <c r="C54" s="23"/>
      <c r="D54" s="23"/>
      <c r="E54" s="23"/>
      <c r="F54" s="23"/>
      <c r="G54" s="48"/>
      <c r="H54" s="48"/>
      <c r="I54" s="296">
        <f>O43</f>
        <v>0</v>
      </c>
      <c r="J54" s="297"/>
      <c r="K54" s="298">
        <f>I54*24</f>
        <v>0</v>
      </c>
      <c r="L54" s="299"/>
      <c r="M54" s="123"/>
      <c r="N54" s="94">
        <v>2.72</v>
      </c>
      <c r="O54" s="95">
        <f>K54*N54</f>
        <v>0</v>
      </c>
      <c r="P54" s="275"/>
      <c r="Q54" s="266"/>
      <c r="R54" s="266"/>
      <c r="S54" s="276"/>
      <c r="T54" s="17"/>
      <c r="U54" s="17"/>
      <c r="V54" s="17"/>
      <c r="W54" s="17"/>
      <c r="X54" s="17"/>
      <c r="Y54" s="17"/>
      <c r="Z54" s="17"/>
      <c r="AA54" s="17"/>
      <c r="AB54" s="17"/>
    </row>
    <row r="55" spans="1:30">
      <c r="A55" s="19"/>
      <c r="B55" s="16"/>
      <c r="C55" s="17"/>
      <c r="D55" s="17"/>
      <c r="E55" s="17"/>
      <c r="F55" s="17"/>
      <c r="G55" s="17"/>
      <c r="H55" s="17"/>
      <c r="I55" s="17"/>
      <c r="J55" s="63"/>
      <c r="K55" s="63"/>
      <c r="L55" s="96"/>
      <c r="M55" s="96"/>
      <c r="N55" s="96"/>
      <c r="O55" s="97"/>
      <c r="P55" s="2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spans="1:30">
      <c r="A56" s="300" t="s">
        <v>67</v>
      </c>
      <c r="B56" s="301"/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2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 spans="1:30">
      <c r="A57" s="303"/>
      <c r="B57" s="304"/>
      <c r="C57" s="304"/>
      <c r="D57" s="304"/>
      <c r="E57" s="304"/>
      <c r="F57" s="304"/>
      <c r="G57" s="304"/>
      <c r="H57" s="304"/>
      <c r="I57" s="304"/>
      <c r="J57" s="304"/>
      <c r="K57" s="304"/>
      <c r="L57" s="304"/>
      <c r="M57" s="304"/>
      <c r="N57" s="304"/>
      <c r="O57" s="304"/>
      <c r="P57" s="304"/>
      <c r="Q57" s="304"/>
      <c r="R57" s="304"/>
      <c r="S57" s="305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 spans="1:30">
      <c r="A58" s="303"/>
      <c r="B58" s="304"/>
      <c r="C58" s="304"/>
      <c r="D58" s="304"/>
      <c r="E58" s="304"/>
      <c r="F58" s="304"/>
      <c r="G58" s="304"/>
      <c r="H58" s="304"/>
      <c r="I58" s="304"/>
      <c r="J58" s="304"/>
      <c r="K58" s="304"/>
      <c r="L58" s="304"/>
      <c r="M58" s="304"/>
      <c r="N58" s="304"/>
      <c r="O58" s="304"/>
      <c r="P58" s="304"/>
      <c r="Q58" s="304"/>
      <c r="R58" s="304"/>
      <c r="S58" s="305"/>
      <c r="T58" s="64"/>
      <c r="U58" s="104"/>
      <c r="V58" s="105"/>
      <c r="W58" s="17"/>
      <c r="X58" s="17"/>
      <c r="Y58" s="17"/>
      <c r="Z58" s="17"/>
      <c r="AA58" s="17"/>
      <c r="AB58" s="17"/>
      <c r="AC58" s="17"/>
      <c r="AD58" s="17"/>
    </row>
    <row r="59" spans="1:30">
      <c r="A59" s="306"/>
      <c r="B59" s="307"/>
      <c r="C59" s="307"/>
      <c r="D59" s="307"/>
      <c r="E59" s="307"/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7"/>
      <c r="Q59" s="307"/>
      <c r="R59" s="307"/>
      <c r="S59" s="308"/>
      <c r="T59" s="64"/>
      <c r="U59" s="64"/>
      <c r="V59" s="106"/>
      <c r="W59" s="17"/>
      <c r="X59" s="17"/>
      <c r="Y59" s="17"/>
      <c r="Z59" s="17"/>
      <c r="AA59" s="17"/>
      <c r="AB59" s="17"/>
      <c r="AC59" s="17"/>
      <c r="AD59" s="17"/>
    </row>
    <row r="60" spans="1:30">
      <c r="A60" s="64"/>
      <c r="B60" s="65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106"/>
      <c r="W60" s="17"/>
      <c r="X60" s="17"/>
      <c r="Y60" s="17"/>
      <c r="Z60" s="17"/>
      <c r="AA60" s="17"/>
      <c r="AB60" s="17"/>
      <c r="AC60" s="17"/>
      <c r="AD60" s="17"/>
    </row>
    <row r="61" spans="1:30">
      <c r="A61" s="17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 spans="1:30">
      <c r="A62" s="17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spans="1:30">
      <c r="A63" s="17"/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 spans="1:30">
      <c r="A64" s="17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 spans="1:30">
      <c r="A65" s="17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 spans="1:30">
      <c r="A66" s="17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 spans="1:30">
      <c r="A67" s="17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 spans="1:30">
      <c r="A68" s="17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 spans="1:30">
      <c r="A69" s="17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 spans="1:30">
      <c r="A70" s="17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spans="1:30">
      <c r="A71" s="17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spans="1:30">
      <c r="A72" s="17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spans="1:30">
      <c r="A73" s="17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spans="1:30">
      <c r="A74" s="17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spans="1:30">
      <c r="A75" s="17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spans="1:30">
      <c r="A76" s="17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spans="1:30">
      <c r="A77" s="17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 spans="1:30">
      <c r="A78" s="17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 spans="1:30">
      <c r="A79" s="17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spans="1:30">
      <c r="A80" s="17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 spans="1:30">
      <c r="A81" s="17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 spans="1:30">
      <c r="A82" s="17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 spans="1:30">
      <c r="A83" s="17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 spans="1:30">
      <c r="A84" s="17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spans="1:30">
      <c r="A85" s="17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 spans="1:30">
      <c r="A86" s="17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 spans="1:30">
      <c r="A87" s="17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 spans="1:30">
      <c r="A88" s="17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 spans="1:30">
      <c r="A89" s="17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spans="1:30">
      <c r="A90" s="17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 spans="1:30">
      <c r="A91" s="17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 spans="1:30">
      <c r="A92" s="17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spans="1:30">
      <c r="A93" s="17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 spans="1:30">
      <c r="A94" s="17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 spans="1:30">
      <c r="A95" s="17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 spans="1:30">
      <c r="A96" s="17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 spans="1:30">
      <c r="A97" s="17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 spans="1:30">
      <c r="A98" s="17"/>
      <c r="B98" s="16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spans="1:30">
      <c r="A99" s="17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spans="1:30">
      <c r="A100" s="17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</sheetData>
  <mergeCells count="50">
    <mergeCell ref="E1:F1"/>
    <mergeCell ref="E3:F3"/>
    <mergeCell ref="E4:F4"/>
    <mergeCell ref="F10:G10"/>
    <mergeCell ref="H10:I10"/>
    <mergeCell ref="Q43:S43"/>
    <mergeCell ref="T44:V44"/>
    <mergeCell ref="P45:S45"/>
    <mergeCell ref="T45:V45"/>
    <mergeCell ref="A45:C46"/>
    <mergeCell ref="D45:E46"/>
    <mergeCell ref="T46:V46"/>
    <mergeCell ref="A43:K43"/>
    <mergeCell ref="T49:V49"/>
    <mergeCell ref="I51:J51"/>
    <mergeCell ref="K51:L51"/>
    <mergeCell ref="P46:S48"/>
    <mergeCell ref="T47:V48"/>
    <mergeCell ref="F45:O46"/>
    <mergeCell ref="A10:A11"/>
    <mergeCell ref="C10:C11"/>
    <mergeCell ref="E10:E11"/>
    <mergeCell ref="J10:J11"/>
    <mergeCell ref="K10:K11"/>
    <mergeCell ref="P10:P11"/>
    <mergeCell ref="AC7:AC8"/>
    <mergeCell ref="AC10:AC11"/>
    <mergeCell ref="L5:S6"/>
    <mergeCell ref="E5:F6"/>
    <mergeCell ref="G5:K6"/>
    <mergeCell ref="Q10:S11"/>
    <mergeCell ref="L10:L11"/>
    <mergeCell ref="M10:M11"/>
    <mergeCell ref="N10:N11"/>
    <mergeCell ref="O10:O11"/>
    <mergeCell ref="A56:S59"/>
    <mergeCell ref="P53:S54"/>
    <mergeCell ref="P50:S52"/>
    <mergeCell ref="A48:C49"/>
    <mergeCell ref="D48:E49"/>
    <mergeCell ref="F48:G49"/>
    <mergeCell ref="I48:J49"/>
    <mergeCell ref="K48:N49"/>
    <mergeCell ref="O48:O49"/>
    <mergeCell ref="I52:J52"/>
    <mergeCell ref="K52:L52"/>
    <mergeCell ref="I53:J53"/>
    <mergeCell ref="I54:J54"/>
    <mergeCell ref="K54:L54"/>
    <mergeCell ref="P49:S49"/>
  </mergeCells>
  <conditionalFormatting sqref="N12:N4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{ADC625E3-9938-4C73-B11B-2131BB765924}</x14:id>
        </ext>
      </extLst>
    </cfRule>
  </conditionalFormatting>
  <printOptions horizontalCentered="1" verticalCentered="1"/>
  <pageMargins left="0.196850393700787" right="0.196850393700787" top="0.196850393700787" bottom="0.196850393700787" header="0" footer="0"/>
  <pageSetup paperSize="9" scale="43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C625E3-9938-4C73-B11B-2131BB7659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N12:N42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O23"/>
  <sheetViews>
    <sheetView showGridLines="0" zoomScale="80" zoomScaleNormal="80" workbookViewId="0">
      <selection activeCell="C3" sqref="C3:C10"/>
    </sheetView>
  </sheetViews>
  <sheetFormatPr defaultColWidth="9" defaultRowHeight="15"/>
  <cols>
    <col min="1" max="1" width="15.7109375" customWidth="1"/>
    <col min="2" max="2" width="17.28515625" customWidth="1"/>
    <col min="3" max="3" width="12" customWidth="1"/>
    <col min="4" max="4" width="8.42578125" customWidth="1"/>
    <col min="5" max="5" width="10.42578125" customWidth="1"/>
    <col min="6" max="6" width="12.7109375" customWidth="1"/>
    <col min="7" max="7" width="42.42578125" customWidth="1"/>
    <col min="13" max="13" width="10.5703125" customWidth="1"/>
    <col min="14" max="14" width="47.5703125" customWidth="1"/>
    <col min="15" max="15" width="0.5703125" customWidth="1"/>
  </cols>
  <sheetData>
    <row r="1" spans="2:15" ht="49.5" customHeight="1">
      <c r="F1" s="162"/>
    </row>
    <row r="2" spans="2:15" ht="26.25">
      <c r="B2" s="163" t="s">
        <v>71</v>
      </c>
      <c r="C2" s="164" t="s">
        <v>72</v>
      </c>
      <c r="D2" s="165" t="s">
        <v>73</v>
      </c>
      <c r="E2" s="165" t="s">
        <v>74</v>
      </c>
      <c r="F2" s="166" t="s">
        <v>75</v>
      </c>
      <c r="G2" s="167"/>
      <c r="H2" s="167"/>
      <c r="I2" s="167"/>
      <c r="J2" s="167"/>
      <c r="K2" s="167"/>
      <c r="L2" s="167"/>
      <c r="M2" s="167"/>
      <c r="N2" s="180" t="s">
        <v>76</v>
      </c>
      <c r="O2" s="181"/>
    </row>
    <row r="3" spans="2:15" ht="15.75">
      <c r="B3" s="168"/>
      <c r="C3" s="175">
        <v>8.1854166666666668</v>
      </c>
      <c r="D3" s="175">
        <v>9.1666666666666696</v>
      </c>
      <c r="E3" s="170">
        <f t="shared" ref="E3:E6" si="0">C3-D3</f>
        <v>-0.98125000000000284</v>
      </c>
      <c r="F3" s="171" t="str">
        <f t="shared" ref="F3:F6" si="1">IF(C3&lt;D3,"NEGATIVO","EXTRAS")</f>
        <v>NEGATIVO</v>
      </c>
      <c r="G3" s="172"/>
      <c r="H3" s="172"/>
      <c r="I3" s="172"/>
      <c r="J3" s="172"/>
      <c r="K3" s="172"/>
      <c r="L3" s="172"/>
      <c r="M3" s="172"/>
      <c r="N3" s="200"/>
      <c r="O3" s="183"/>
    </row>
    <row r="4" spans="2:15" ht="15.75">
      <c r="B4" s="168"/>
      <c r="C4" s="175">
        <v>8.0812500000000007</v>
      </c>
      <c r="D4" s="175">
        <v>9.1666666666666696</v>
      </c>
      <c r="E4" s="170">
        <f t="shared" si="0"/>
        <v>-1.0854166666666689</v>
      </c>
      <c r="F4" s="171" t="str">
        <f t="shared" si="1"/>
        <v>NEGATIVO</v>
      </c>
      <c r="G4" s="172"/>
      <c r="H4" s="172"/>
      <c r="I4" s="172"/>
      <c r="J4" s="172"/>
      <c r="K4" s="172"/>
      <c r="L4" s="172"/>
      <c r="M4" s="172"/>
      <c r="N4" s="200"/>
      <c r="O4" s="183"/>
    </row>
    <row r="5" spans="2:15" ht="15.75">
      <c r="B5" s="173"/>
      <c r="C5" s="175">
        <v>5.3090277777777777</v>
      </c>
      <c r="D5" s="175">
        <v>9.1666666666666696</v>
      </c>
      <c r="E5" s="170">
        <f t="shared" si="0"/>
        <v>-3.8576388888888919</v>
      </c>
      <c r="F5" s="171" t="str">
        <f t="shared" si="1"/>
        <v>NEGATIVO</v>
      </c>
      <c r="G5" s="172"/>
      <c r="H5" s="172"/>
      <c r="I5" s="172"/>
      <c r="J5" s="172"/>
      <c r="K5" s="172"/>
      <c r="L5" s="172"/>
      <c r="M5" s="172"/>
      <c r="N5" s="200"/>
      <c r="O5" s="183"/>
    </row>
    <row r="6" spans="2:15" ht="15.75" customHeight="1">
      <c r="B6" s="173"/>
      <c r="C6" s="175">
        <v>6.3972222222222221</v>
      </c>
      <c r="D6" s="175">
        <v>9.1666666666666696</v>
      </c>
      <c r="E6" s="170">
        <f t="shared" si="0"/>
        <v>-2.7694444444444475</v>
      </c>
      <c r="F6" s="171" t="str">
        <f t="shared" si="1"/>
        <v>NEGATIVO</v>
      </c>
      <c r="G6" s="172"/>
      <c r="H6" s="172"/>
      <c r="I6" s="172"/>
      <c r="J6" s="172"/>
      <c r="K6" s="172"/>
      <c r="L6" s="172"/>
      <c r="M6" s="172"/>
      <c r="N6" s="182"/>
      <c r="O6" s="183"/>
    </row>
    <row r="7" spans="2:15" ht="15.75">
      <c r="B7" s="173"/>
      <c r="C7" s="169">
        <v>4.9430555555555555</v>
      </c>
      <c r="D7" s="169">
        <v>9.1666666666666696</v>
      </c>
      <c r="E7" s="170">
        <f t="shared" ref="E7" si="2">C7-D7</f>
        <v>-4.2236111111111141</v>
      </c>
      <c r="F7" s="171" t="str">
        <f t="shared" ref="F7" si="3">IF(C7&lt;D7,"NEGATIVO","EXTRAS")</f>
        <v>NEGATIVO</v>
      </c>
      <c r="G7" s="172"/>
      <c r="H7" s="172"/>
      <c r="I7" s="172"/>
      <c r="J7" s="172"/>
      <c r="K7" s="172"/>
      <c r="L7" s="172"/>
      <c r="M7" s="172"/>
      <c r="N7" s="184" t="s">
        <v>77</v>
      </c>
      <c r="O7" s="183"/>
    </row>
    <row r="8" spans="2:15" ht="15.75">
      <c r="B8" s="173"/>
      <c r="C8" s="169">
        <v>9.4868055555555557</v>
      </c>
      <c r="D8" s="169">
        <v>9.1666666666666696</v>
      </c>
      <c r="E8" s="170">
        <f t="shared" ref="E8:E9" si="4">C8-D8</f>
        <v>0.32013888888888609</v>
      </c>
      <c r="F8" s="171" t="str">
        <f t="shared" ref="F8:F9" si="5">IF(C8&lt;D8,"NEGATIVO","EXTRAS")</f>
        <v>EXTRAS</v>
      </c>
      <c r="G8" s="172"/>
      <c r="H8" s="172"/>
      <c r="I8" s="172"/>
      <c r="J8" s="172"/>
      <c r="K8" s="172"/>
      <c r="L8" s="172"/>
      <c r="M8" s="172"/>
      <c r="N8" s="185"/>
      <c r="O8" s="183"/>
    </row>
    <row r="9" spans="2:15" ht="15.75">
      <c r="B9" s="176"/>
      <c r="C9" s="169">
        <v>9.8270833333333325</v>
      </c>
      <c r="D9" s="169">
        <v>9.1666666666666696</v>
      </c>
      <c r="E9" s="170">
        <f t="shared" si="4"/>
        <v>0.66041666666666288</v>
      </c>
      <c r="F9" s="171" t="str">
        <f t="shared" si="5"/>
        <v>EXTRAS</v>
      </c>
      <c r="G9" s="172"/>
      <c r="H9" s="172"/>
      <c r="I9" s="172"/>
      <c r="J9" s="172"/>
      <c r="K9" s="172"/>
      <c r="L9" s="172"/>
      <c r="M9" s="172"/>
      <c r="N9" s="186" t="s">
        <v>78</v>
      </c>
      <c r="O9" s="183"/>
    </row>
    <row r="10" spans="2:15" ht="15.75">
      <c r="B10" s="176"/>
      <c r="C10" s="169">
        <v>7.1736111111111107</v>
      </c>
      <c r="D10" s="169">
        <v>9.1666666666666696</v>
      </c>
      <c r="E10" s="170">
        <f t="shared" ref="E10" si="6">C10-D10</f>
        <v>-1.9930555555555589</v>
      </c>
      <c r="F10" s="171" t="str">
        <f t="shared" ref="F10" si="7">IF(C10&lt;D10,"NEGATIVO","EXTRAS")</f>
        <v>NEGATIVO</v>
      </c>
      <c r="G10" s="172"/>
      <c r="H10" s="172"/>
      <c r="I10" s="172"/>
      <c r="J10" s="172"/>
      <c r="K10" s="172"/>
      <c r="L10" s="172"/>
      <c r="M10" s="172"/>
      <c r="N10" s="187"/>
      <c r="O10" s="183"/>
    </row>
    <row r="11" spans="2:15" ht="15.75">
      <c r="B11" s="174"/>
      <c r="C11" s="169"/>
      <c r="D11" s="169"/>
      <c r="E11" s="170"/>
      <c r="F11" s="171"/>
      <c r="G11" s="172"/>
      <c r="H11" s="172"/>
      <c r="I11" s="172"/>
      <c r="J11" s="172"/>
      <c r="K11" s="172"/>
      <c r="L11" s="172"/>
      <c r="M11" s="172"/>
      <c r="N11" s="187"/>
      <c r="O11" s="183"/>
    </row>
    <row r="12" spans="2:15" ht="15.75">
      <c r="B12" s="174"/>
      <c r="C12" s="175"/>
      <c r="D12" s="169"/>
      <c r="E12" s="170"/>
      <c r="F12" s="171"/>
      <c r="G12" s="172"/>
      <c r="H12" s="172"/>
      <c r="I12" s="172"/>
      <c r="J12" s="172"/>
      <c r="K12" s="172"/>
      <c r="L12" s="172"/>
      <c r="M12" s="172"/>
      <c r="N12" s="188"/>
      <c r="O12" s="183"/>
    </row>
    <row r="13" spans="2:15" ht="15.75">
      <c r="B13" s="174"/>
      <c r="C13" s="175"/>
      <c r="D13" s="169"/>
      <c r="E13" s="170"/>
      <c r="F13" s="171"/>
      <c r="G13" s="172"/>
      <c r="H13" s="172"/>
      <c r="I13" s="172"/>
      <c r="J13" s="172"/>
      <c r="K13" s="172"/>
      <c r="L13" s="172"/>
      <c r="M13" s="189"/>
      <c r="N13" s="188"/>
      <c r="O13" s="183"/>
    </row>
    <row r="14" spans="2:15" ht="25.5" customHeight="1">
      <c r="B14" s="177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90"/>
    </row>
    <row r="19" spans="5:5">
      <c r="E19" s="179"/>
    </row>
    <row r="20" spans="5:5">
      <c r="E20" s="179"/>
    </row>
    <row r="21" spans="5:5">
      <c r="E21" s="179"/>
    </row>
    <row r="22" spans="5:5">
      <c r="E22" s="179"/>
    </row>
    <row r="23" spans="5:5">
      <c r="E23" s="179"/>
    </row>
  </sheetData>
  <sortState xmlns:xlrd2="http://schemas.microsoft.com/office/spreadsheetml/2017/richdata2" ref="B3:F13">
    <sortCondition descending="1" ref="C3:C13"/>
  </sortState>
  <conditionalFormatting sqref="E3:E13">
    <cfRule type="aboveAverage" priority="121" aboveAverage="0" equalAverage="1"/>
  </conditionalFormatting>
  <conditionalFormatting sqref="F3:F13">
    <cfRule type="containsText" dxfId="1" priority="2" operator="containsText" text="EXTRAS">
      <formula>NOT(ISERROR(SEARCH("EXTRAS",F3)))</formula>
    </cfRule>
    <cfRule type="containsText" dxfId="0" priority="3" operator="containsText" text="NEGATIVO">
      <formula>NOT(ISERROR(SEARCH("NEGATIVO",F3)))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34"/>
  <sheetViews>
    <sheetView showGridLines="0" zoomScale="80" zoomScaleNormal="80" workbookViewId="0">
      <pane ySplit="3" topLeftCell="A4" activePane="bottomLeft" state="frozen"/>
      <selection pane="bottomLeft" activeCell="E23" sqref="E23"/>
    </sheetView>
  </sheetViews>
  <sheetFormatPr defaultColWidth="14.42578125" defaultRowHeight="15"/>
  <cols>
    <col min="1" max="1" width="35.140625" style="131" customWidth="1"/>
    <col min="2" max="2" width="16.7109375" style="22" customWidth="1"/>
    <col min="3" max="4" width="10.28515625" style="8" customWidth="1"/>
    <col min="5" max="5" width="10.7109375" style="8" customWidth="1"/>
    <col min="6" max="6" width="18.42578125" style="8" customWidth="1"/>
    <col min="7" max="7" width="77" style="22" customWidth="1"/>
  </cols>
  <sheetData>
    <row r="1" spans="1:7" ht="14.25" customHeight="1">
      <c r="A1" s="312" t="s">
        <v>79</v>
      </c>
      <c r="B1" s="313"/>
      <c r="C1" s="314"/>
      <c r="D1" s="314"/>
      <c r="E1" s="314"/>
      <c r="F1" s="314"/>
      <c r="G1" s="315"/>
    </row>
    <row r="2" spans="1:7" ht="66.75" customHeight="1">
      <c r="A2" s="316"/>
      <c r="B2" s="317"/>
      <c r="C2" s="317"/>
      <c r="D2" s="317"/>
      <c r="E2" s="317"/>
      <c r="F2" s="317"/>
      <c r="G2" s="318"/>
    </row>
    <row r="3" spans="1:7" ht="17.45" customHeight="1">
      <c r="A3" s="132" t="s">
        <v>80</v>
      </c>
      <c r="B3" s="132" t="s">
        <v>81</v>
      </c>
      <c r="C3" s="132" t="s">
        <v>82</v>
      </c>
      <c r="D3" s="133" t="s">
        <v>83</v>
      </c>
      <c r="E3" s="134" t="s">
        <v>32</v>
      </c>
      <c r="F3" s="133" t="s">
        <v>84</v>
      </c>
      <c r="G3" s="132" t="s">
        <v>85</v>
      </c>
    </row>
    <row r="4" spans="1:7" s="130" customFormat="1" ht="17.45" hidden="1" customHeight="1">
      <c r="A4" s="135" t="s">
        <v>86</v>
      </c>
      <c r="B4" s="136" t="s">
        <v>87</v>
      </c>
      <c r="C4" s="137">
        <v>0</v>
      </c>
      <c r="D4" s="138">
        <v>0</v>
      </c>
      <c r="E4" s="140">
        <v>40</v>
      </c>
      <c r="F4" s="140">
        <f>Table_13[[#This Row],[PAGAR ]]*Table_13[[#This Row],[DIÁRIA]]</f>
        <v>0</v>
      </c>
      <c r="G4" s="141"/>
    </row>
    <row r="5" spans="1:7" s="130" customFormat="1" ht="17.45" hidden="1" customHeight="1">
      <c r="A5" s="143" t="s">
        <v>88</v>
      </c>
      <c r="B5" s="144" t="s">
        <v>89</v>
      </c>
      <c r="C5" s="137">
        <v>0</v>
      </c>
      <c r="D5" s="138">
        <v>0</v>
      </c>
      <c r="E5" s="158">
        <v>40</v>
      </c>
      <c r="F5" s="140">
        <f>Table_13[[#This Row],[PAGAR ]]*Table_13[[#This Row],[DIÁRIA]]</f>
        <v>0</v>
      </c>
      <c r="G5" s="154"/>
    </row>
    <row r="6" spans="1:7" s="130" customFormat="1" ht="17.45" hidden="1" customHeight="1">
      <c r="A6" s="142" t="s">
        <v>90</v>
      </c>
      <c r="B6" s="136" t="s">
        <v>91</v>
      </c>
      <c r="C6" s="137">
        <v>0</v>
      </c>
      <c r="D6" s="138">
        <v>0</v>
      </c>
      <c r="E6" s="140">
        <v>40</v>
      </c>
      <c r="F6" s="140">
        <f>Table_13[[#This Row],[PAGAR ]]*Table_13[[#This Row],[DIÁRIA]]</f>
        <v>0</v>
      </c>
      <c r="G6" s="141"/>
    </row>
    <row r="7" spans="1:7" s="130" customFormat="1" ht="17.45" hidden="1" customHeight="1">
      <c r="A7" s="145" t="s">
        <v>92</v>
      </c>
      <c r="B7" s="146" t="s">
        <v>93</v>
      </c>
      <c r="C7" s="137">
        <v>0</v>
      </c>
      <c r="D7" s="138">
        <v>0</v>
      </c>
      <c r="E7" s="140">
        <v>40</v>
      </c>
      <c r="F7" s="140">
        <f>Table_13[[#This Row],[PAGAR ]]*Table_13[[#This Row],[DIÁRIA]]</f>
        <v>0</v>
      </c>
      <c r="G7" s="141"/>
    </row>
    <row r="8" spans="1:7" s="130" customFormat="1" ht="17.45" hidden="1" customHeight="1">
      <c r="A8" s="145" t="s">
        <v>94</v>
      </c>
      <c r="B8" s="146" t="s">
        <v>95</v>
      </c>
      <c r="C8" s="137">
        <v>0</v>
      </c>
      <c r="D8" s="138">
        <v>0</v>
      </c>
      <c r="E8" s="140">
        <v>40</v>
      </c>
      <c r="F8" s="140">
        <f>Table_13[[#This Row],[PAGAR ]]*Table_13[[#This Row],[DIÁRIA]]</f>
        <v>0</v>
      </c>
      <c r="G8" s="141"/>
    </row>
    <row r="9" spans="1:7" s="130" customFormat="1" ht="17.45" hidden="1" customHeight="1">
      <c r="A9" s="145" t="s">
        <v>96</v>
      </c>
      <c r="B9" s="146" t="s">
        <v>97</v>
      </c>
      <c r="C9" s="137">
        <v>0</v>
      </c>
      <c r="D9" s="138">
        <v>0</v>
      </c>
      <c r="E9" s="158">
        <v>40</v>
      </c>
      <c r="F9" s="140">
        <f>Table_13[[#This Row],[PAGAR ]]*Table_13[[#This Row],[DIÁRIA]]</f>
        <v>0</v>
      </c>
      <c r="G9" s="141"/>
    </row>
    <row r="10" spans="1:7" s="130" customFormat="1" ht="17.45" hidden="1" customHeight="1">
      <c r="A10" s="143" t="s">
        <v>98</v>
      </c>
      <c r="B10" s="144" t="s">
        <v>99</v>
      </c>
      <c r="C10" s="137">
        <v>0</v>
      </c>
      <c r="D10" s="138">
        <v>0</v>
      </c>
      <c r="E10" s="158">
        <v>40</v>
      </c>
      <c r="F10" s="140">
        <f>Table_13[[#This Row],[PAGAR ]]*Table_13[[#This Row],[DIÁRIA]]</f>
        <v>0</v>
      </c>
      <c r="G10" s="141"/>
    </row>
    <row r="11" spans="1:7" s="130" customFormat="1" ht="17.45" hidden="1" customHeight="1">
      <c r="A11" s="159" t="s">
        <v>100</v>
      </c>
      <c r="B11" s="152" t="s">
        <v>101</v>
      </c>
      <c r="C11" s="137">
        <v>0</v>
      </c>
      <c r="D11" s="138">
        <v>0</v>
      </c>
      <c r="E11" s="158">
        <v>40</v>
      </c>
      <c r="F11" s="140">
        <f>Table_13[[#This Row],[PAGAR ]]*Table_13[[#This Row],[DIÁRIA]]</f>
        <v>0</v>
      </c>
      <c r="G11" s="141"/>
    </row>
    <row r="12" spans="1:7" s="130" customFormat="1" ht="17.45" hidden="1" customHeight="1">
      <c r="A12" s="143" t="s">
        <v>102</v>
      </c>
      <c r="B12" s="144" t="s">
        <v>103</v>
      </c>
      <c r="C12" s="137">
        <v>0</v>
      </c>
      <c r="D12" s="138">
        <v>0</v>
      </c>
      <c r="E12" s="158">
        <v>40</v>
      </c>
      <c r="F12" s="140">
        <f>Table_13[[#This Row],[PAGAR ]]*Table_13[[#This Row],[DIÁRIA]]</f>
        <v>0</v>
      </c>
      <c r="G12" s="141"/>
    </row>
    <row r="13" spans="1:7" s="130" customFormat="1" ht="17.45" hidden="1" customHeight="1">
      <c r="A13" s="145" t="s">
        <v>104</v>
      </c>
      <c r="B13" s="146" t="s">
        <v>105</v>
      </c>
      <c r="C13" s="137">
        <v>0</v>
      </c>
      <c r="D13" s="138">
        <v>0</v>
      </c>
      <c r="E13" s="158">
        <v>40</v>
      </c>
      <c r="F13" s="140">
        <f>Table_13[[#This Row],[PAGAR ]]*Table_13[[#This Row],[DIÁRIA]]</f>
        <v>0</v>
      </c>
      <c r="G13" s="141"/>
    </row>
    <row r="14" spans="1:7" s="130" customFormat="1" ht="17.45" hidden="1" customHeight="1">
      <c r="A14" s="145" t="s">
        <v>106</v>
      </c>
      <c r="B14" s="146" t="s">
        <v>107</v>
      </c>
      <c r="C14" s="137">
        <v>0</v>
      </c>
      <c r="D14" s="138">
        <v>0</v>
      </c>
      <c r="E14" s="158">
        <v>40</v>
      </c>
      <c r="F14" s="140">
        <f>Table_13[[#This Row],[PAGAR ]]*Table_13[[#This Row],[DIÁRIA]]</f>
        <v>0</v>
      </c>
      <c r="G14" s="141"/>
    </row>
    <row r="15" spans="1:7" s="130" customFormat="1" ht="17.45" hidden="1" customHeight="1">
      <c r="A15" s="143" t="s">
        <v>108</v>
      </c>
      <c r="B15" s="144" t="s">
        <v>109</v>
      </c>
      <c r="C15" s="137">
        <v>0</v>
      </c>
      <c r="D15" s="138">
        <v>0</v>
      </c>
      <c r="E15" s="140">
        <v>40</v>
      </c>
      <c r="F15" s="140">
        <f>Table_13[[#This Row],[PAGAR ]]*Table_13[[#This Row],[DIÁRIA]]</f>
        <v>0</v>
      </c>
      <c r="G15" s="141"/>
    </row>
    <row r="16" spans="1:7" s="130" customFormat="1" ht="17.45" hidden="1" customHeight="1">
      <c r="A16" s="143" t="s">
        <v>110</v>
      </c>
      <c r="B16" s="144" t="s">
        <v>111</v>
      </c>
      <c r="C16" s="137">
        <v>0</v>
      </c>
      <c r="D16" s="138">
        <v>0</v>
      </c>
      <c r="E16" s="158">
        <v>40</v>
      </c>
      <c r="F16" s="140">
        <f>Table_13[[#This Row],[PAGAR ]]*Table_13[[#This Row],[DIÁRIA]]</f>
        <v>0</v>
      </c>
      <c r="G16" s="141"/>
    </row>
    <row r="17" spans="1:7" s="130" customFormat="1" ht="17.45" hidden="1" customHeight="1">
      <c r="A17" s="143" t="s">
        <v>112</v>
      </c>
      <c r="B17" s="144" t="s">
        <v>113</v>
      </c>
      <c r="C17" s="137">
        <v>0</v>
      </c>
      <c r="D17" s="138">
        <v>0</v>
      </c>
      <c r="E17" s="158">
        <v>40</v>
      </c>
      <c r="F17" s="140">
        <f>Table_13[[#This Row],[PAGAR ]]*Table_13[[#This Row],[DIÁRIA]]</f>
        <v>0</v>
      </c>
      <c r="G17" s="141"/>
    </row>
    <row r="18" spans="1:7" s="130" customFormat="1" ht="17.45" hidden="1" customHeight="1">
      <c r="A18" s="160" t="s">
        <v>114</v>
      </c>
      <c r="B18" s="161" t="s">
        <v>115</v>
      </c>
      <c r="C18" s="137">
        <v>0</v>
      </c>
      <c r="D18" s="138">
        <v>0</v>
      </c>
      <c r="E18" s="158">
        <v>40</v>
      </c>
      <c r="F18" s="149">
        <f>Table_13[[#This Row],[PAGAR ]]*Table_13[[#This Row],[DIÁRIA]]</f>
        <v>0</v>
      </c>
      <c r="G18" s="141"/>
    </row>
    <row r="19" spans="1:7" s="130" customFormat="1" ht="17.45" customHeight="1">
      <c r="A19" s="153"/>
      <c r="B19" s="144"/>
      <c r="C19" s="137"/>
      <c r="D19" s="138"/>
      <c r="E19" s="139">
        <v>40</v>
      </c>
      <c r="F19" s="140">
        <f>Table_13[[#This Row],[PAGAR ]]*Table_13[[#This Row],[DIÁRIA]]</f>
        <v>0</v>
      </c>
      <c r="G19" s="141"/>
    </row>
    <row r="20" spans="1:7" s="130" customFormat="1" ht="17.45" customHeight="1">
      <c r="A20" s="142"/>
      <c r="B20" s="136"/>
      <c r="C20" s="137"/>
      <c r="D20" s="138"/>
      <c r="E20" s="139">
        <v>40</v>
      </c>
      <c r="F20" s="140">
        <f>Table_13[[#This Row],[PAGAR ]]*Table_13[[#This Row],[DIÁRIA]]</f>
        <v>0</v>
      </c>
      <c r="G20" s="141"/>
    </row>
    <row r="21" spans="1:7" s="130" customFormat="1" ht="17.45" customHeight="1">
      <c r="A21" s="153"/>
      <c r="B21" s="144"/>
      <c r="C21" s="137"/>
      <c r="D21" s="138"/>
      <c r="E21" s="139">
        <v>40</v>
      </c>
      <c r="F21" s="140">
        <f>Table_13[[#This Row],[PAGAR ]]*Table_13[[#This Row],[DIÁRIA]]</f>
        <v>0</v>
      </c>
      <c r="G21" s="141"/>
    </row>
    <row r="22" spans="1:7" s="130" customFormat="1" ht="24.95" customHeight="1">
      <c r="A22" s="142"/>
      <c r="B22" s="136"/>
      <c r="C22" s="137"/>
      <c r="D22" s="138"/>
      <c r="E22" s="139">
        <v>40</v>
      </c>
      <c r="F22" s="140">
        <f>Table_13[[#This Row],[PAGAR ]]*Table_13[[#This Row],[DIÁRIA]]</f>
        <v>0</v>
      </c>
      <c r="G22" s="141"/>
    </row>
    <row r="23" spans="1:7" s="130" customFormat="1" ht="15.95" customHeight="1">
      <c r="A23" s="142"/>
      <c r="B23" s="136"/>
      <c r="C23" s="137"/>
      <c r="D23" s="138"/>
      <c r="E23" s="139">
        <v>40</v>
      </c>
      <c r="F23" s="140">
        <f>Table_13[[#This Row],[PAGAR ]]*Table_13[[#This Row],[DIÁRIA]]</f>
        <v>0</v>
      </c>
      <c r="G23" s="141"/>
    </row>
    <row r="24" spans="1:7" s="130" customFormat="1" ht="15.95" customHeight="1">
      <c r="A24" s="142"/>
      <c r="B24" s="136"/>
      <c r="C24" s="137"/>
      <c r="D24" s="138"/>
      <c r="E24" s="139">
        <v>40</v>
      </c>
      <c r="F24" s="140">
        <f>Table_13[[#This Row],[PAGAR ]]*Table_13[[#This Row],[DIÁRIA]]</f>
        <v>0</v>
      </c>
      <c r="G24" s="141"/>
    </row>
    <row r="25" spans="1:7" s="130" customFormat="1" ht="15.95" customHeight="1">
      <c r="A25" s="155"/>
      <c r="B25" s="309" t="s">
        <v>51</v>
      </c>
      <c r="C25" s="310"/>
      <c r="D25" s="310"/>
      <c r="E25" s="311"/>
      <c r="F25" s="156">
        <f>SUM(Table_13[À PAGAR])</f>
        <v>0</v>
      </c>
      <c r="G25" s="157"/>
    </row>
    <row r="26" spans="1:7" s="130" customFormat="1" ht="15.75" customHeight="1">
      <c r="A26" s="131"/>
      <c r="B26" s="22"/>
      <c r="C26" s="8"/>
      <c r="D26" s="8"/>
      <c r="E26" s="8"/>
      <c r="F26" s="8"/>
      <c r="G26" s="22"/>
    </row>
    <row r="27" spans="1:7" s="130" customFormat="1" ht="15.75" customHeight="1">
      <c r="A27" s="131"/>
      <c r="B27" s="22"/>
      <c r="C27" s="8"/>
      <c r="D27" s="8"/>
      <c r="E27" s="8"/>
      <c r="F27" s="8"/>
      <c r="G27" s="22"/>
    </row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</sheetData>
  <mergeCells count="2">
    <mergeCell ref="B25:E25"/>
    <mergeCell ref="A1:G2"/>
  </mergeCells>
  <printOptions horizontalCentered="1"/>
  <pageMargins left="0.196850393700787" right="0.196850393700787" top="0.39370078740157499" bottom="0.196850393700787" header="0" footer="0"/>
  <pageSetup paperSize="9" scale="75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34"/>
  <sheetViews>
    <sheetView showGridLines="0" zoomScale="80" zoomScaleNormal="80" workbookViewId="0">
      <pane ySplit="3" topLeftCell="A4" activePane="bottomLeft" state="frozen"/>
      <selection pane="bottomLeft" activeCell="B12" sqref="B12"/>
    </sheetView>
  </sheetViews>
  <sheetFormatPr defaultColWidth="14.42578125" defaultRowHeight="15"/>
  <cols>
    <col min="1" max="1" width="35.140625" style="131" customWidth="1"/>
    <col min="2" max="2" width="16.7109375" style="22" customWidth="1"/>
    <col min="3" max="4" width="10.28515625" style="8" customWidth="1"/>
    <col min="5" max="5" width="10.7109375" style="8" customWidth="1"/>
    <col min="6" max="6" width="18.42578125" style="8" customWidth="1"/>
    <col min="7" max="7" width="46.28515625" style="22" customWidth="1"/>
  </cols>
  <sheetData>
    <row r="1" spans="1:7" ht="14.25" customHeight="1">
      <c r="A1" s="319" t="s">
        <v>116</v>
      </c>
      <c r="B1" s="313"/>
      <c r="C1" s="314"/>
      <c r="D1" s="314"/>
      <c r="E1" s="314"/>
      <c r="F1" s="314"/>
      <c r="G1" s="315"/>
    </row>
    <row r="2" spans="1:7" ht="66.75" customHeight="1">
      <c r="A2" s="316"/>
      <c r="B2" s="317"/>
      <c r="C2" s="317"/>
      <c r="D2" s="317"/>
      <c r="E2" s="317"/>
      <c r="F2" s="317"/>
      <c r="G2" s="318"/>
    </row>
    <row r="3" spans="1:7" ht="17.45" customHeight="1">
      <c r="A3" s="132" t="s">
        <v>80</v>
      </c>
      <c r="B3" s="132" t="s">
        <v>81</v>
      </c>
      <c r="C3" s="132" t="s">
        <v>82</v>
      </c>
      <c r="D3" s="133" t="s">
        <v>83</v>
      </c>
      <c r="E3" s="134" t="s">
        <v>32</v>
      </c>
      <c r="F3" s="133" t="s">
        <v>84</v>
      </c>
      <c r="G3" s="132" t="s">
        <v>85</v>
      </c>
    </row>
    <row r="4" spans="1:7" s="130" customFormat="1" ht="17.45" customHeight="1">
      <c r="A4" s="135"/>
      <c r="B4" s="136"/>
      <c r="C4" s="137">
        <v>0</v>
      </c>
      <c r="D4" s="138">
        <v>0</v>
      </c>
      <c r="E4" s="139">
        <v>40</v>
      </c>
      <c r="F4" s="140">
        <f>Table_132[[#This Row],[PAGAR ]]*Table_132[[#This Row],[DIÁRIA]]</f>
        <v>0</v>
      </c>
      <c r="G4" s="141"/>
    </row>
    <row r="5" spans="1:7" s="130" customFormat="1" ht="17.45" customHeight="1">
      <c r="A5" s="142"/>
      <c r="B5" s="136"/>
      <c r="C5" s="137">
        <v>0</v>
      </c>
      <c r="D5" s="138">
        <v>0</v>
      </c>
      <c r="E5" s="139">
        <v>40</v>
      </c>
      <c r="F5" s="140">
        <f>Table_132[[#This Row],[PAGAR ]]*Table_132[[#This Row],[DIÁRIA]]</f>
        <v>0</v>
      </c>
      <c r="G5" s="141"/>
    </row>
    <row r="6" spans="1:7" s="130" customFormat="1" ht="17.45" customHeight="1">
      <c r="A6" s="135"/>
      <c r="B6" s="136"/>
      <c r="C6" s="137">
        <v>0</v>
      </c>
      <c r="D6" s="138">
        <v>0</v>
      </c>
      <c r="E6" s="139">
        <v>40</v>
      </c>
      <c r="F6" s="140">
        <f>Table_132[[#This Row],[PAGAR ]]*Table_132[[#This Row],[DIÁRIA]]</f>
        <v>0</v>
      </c>
      <c r="G6" s="141"/>
    </row>
    <row r="7" spans="1:7" s="130" customFormat="1" ht="17.45" customHeight="1">
      <c r="A7" s="143"/>
      <c r="B7" s="144"/>
      <c r="C7" s="137">
        <v>0</v>
      </c>
      <c r="D7" s="138">
        <v>0</v>
      </c>
      <c r="E7" s="139">
        <v>40</v>
      </c>
      <c r="F7" s="140">
        <f>Table_132[[#This Row],[PAGAR ]]*Table_132[[#This Row],[DIÁRIA]]</f>
        <v>0</v>
      </c>
      <c r="G7" s="141"/>
    </row>
    <row r="8" spans="1:7" s="130" customFormat="1" ht="17.45" customHeight="1">
      <c r="A8" s="143"/>
      <c r="B8" s="144"/>
      <c r="C8" s="137">
        <v>0</v>
      </c>
      <c r="D8" s="138">
        <v>0</v>
      </c>
      <c r="E8" s="139">
        <v>40</v>
      </c>
      <c r="F8" s="140">
        <f>Table_132[[#This Row],[PAGAR ]]*Table_132[[#This Row],[DIÁRIA]]</f>
        <v>0</v>
      </c>
      <c r="G8" s="141"/>
    </row>
    <row r="9" spans="1:7" s="130" customFormat="1" ht="17.45" customHeight="1">
      <c r="A9" s="145"/>
      <c r="B9" s="146"/>
      <c r="C9" s="137">
        <v>0</v>
      </c>
      <c r="D9" s="138">
        <v>0</v>
      </c>
      <c r="E9" s="139">
        <v>40</v>
      </c>
      <c r="F9" s="140">
        <f>Table_132[[#This Row],[PAGAR ]]*Table_132[[#This Row],[DIÁRIA]]</f>
        <v>0</v>
      </c>
      <c r="G9" s="141"/>
    </row>
    <row r="10" spans="1:7" s="130" customFormat="1" ht="17.45" customHeight="1">
      <c r="A10" s="145"/>
      <c r="B10" s="146"/>
      <c r="C10" s="137">
        <v>0</v>
      </c>
      <c r="D10" s="138">
        <v>0</v>
      </c>
      <c r="E10" s="139">
        <v>40</v>
      </c>
      <c r="F10" s="140">
        <f>Table_132[[#This Row],[PAGAR ]]*Table_132[[#This Row],[DIÁRIA]]</f>
        <v>0</v>
      </c>
      <c r="G10" s="141"/>
    </row>
    <row r="11" spans="1:7" s="130" customFormat="1" ht="17.45" customHeight="1">
      <c r="A11" s="143"/>
      <c r="B11" s="144"/>
      <c r="C11" s="137">
        <v>0</v>
      </c>
      <c r="D11" s="138">
        <v>0</v>
      </c>
      <c r="E11" s="139">
        <v>40</v>
      </c>
      <c r="F11" s="140">
        <f>Table_132[[#This Row],[PAGAR ]]*Table_132[[#This Row],[DIÁRIA]]</f>
        <v>0</v>
      </c>
      <c r="G11" s="141"/>
    </row>
    <row r="12" spans="1:7" s="130" customFormat="1" ht="15.75">
      <c r="A12" s="135"/>
      <c r="B12" s="136"/>
      <c r="C12" s="137">
        <v>0</v>
      </c>
      <c r="D12" s="138">
        <v>0</v>
      </c>
      <c r="E12" s="139">
        <v>40</v>
      </c>
      <c r="F12" s="140">
        <f>Table_132[[#This Row],[PAGAR ]]*Table_132[[#This Row],[DIÁRIA]]</f>
        <v>0</v>
      </c>
      <c r="G12" s="141"/>
    </row>
    <row r="13" spans="1:7" s="130" customFormat="1" ht="15.75">
      <c r="A13" s="135"/>
      <c r="B13" s="136"/>
      <c r="C13" s="137">
        <v>0</v>
      </c>
      <c r="D13" s="138">
        <v>0</v>
      </c>
      <c r="E13" s="140">
        <v>40</v>
      </c>
      <c r="F13" s="140">
        <f>Table_132[[#This Row],[PAGAR ]]*Table_132[[#This Row],[DIÁRIA]]</f>
        <v>0</v>
      </c>
      <c r="G13" s="141"/>
    </row>
    <row r="14" spans="1:7" s="130" customFormat="1" ht="15.75">
      <c r="A14" s="147"/>
      <c r="B14" s="148"/>
      <c r="C14" s="137">
        <v>0</v>
      </c>
      <c r="D14" s="138">
        <v>0</v>
      </c>
      <c r="E14" s="140">
        <v>40</v>
      </c>
      <c r="F14" s="149">
        <f>Table_132[[#This Row],[PAGAR ]]*Table_132[[#This Row],[DIÁRIA]]</f>
        <v>0</v>
      </c>
      <c r="G14" s="141"/>
    </row>
    <row r="15" spans="1:7" s="130" customFormat="1" ht="15.75">
      <c r="A15" s="150"/>
      <c r="B15" s="146"/>
      <c r="C15" s="137">
        <v>0</v>
      </c>
      <c r="D15" s="138">
        <v>0</v>
      </c>
      <c r="E15" s="140">
        <v>40</v>
      </c>
      <c r="F15" s="140">
        <f>Table_132[[#This Row],[PAGAR ]]*Table_132[[#This Row],[DIÁRIA]]</f>
        <v>0</v>
      </c>
      <c r="G15" s="141"/>
    </row>
    <row r="16" spans="1:7" s="130" customFormat="1" ht="15.75">
      <c r="A16" s="151"/>
      <c r="B16" s="152"/>
      <c r="C16" s="137">
        <v>0</v>
      </c>
      <c r="D16" s="138">
        <v>0</v>
      </c>
      <c r="E16" s="140">
        <v>40</v>
      </c>
      <c r="F16" s="140">
        <f>Table_132[[#This Row],[PAGAR ]]*Table_132[[#This Row],[DIÁRIA]]</f>
        <v>0</v>
      </c>
      <c r="G16" s="141"/>
    </row>
    <row r="17" spans="1:7" s="130" customFormat="1" ht="15.75">
      <c r="A17" s="150"/>
      <c r="B17" s="146"/>
      <c r="C17" s="137">
        <v>0</v>
      </c>
      <c r="D17" s="138">
        <v>0</v>
      </c>
      <c r="E17" s="140">
        <v>40</v>
      </c>
      <c r="F17" s="140">
        <f>Table_132[[#This Row],[PAGAR ]]*Table_132[[#This Row],[DIÁRIA]]</f>
        <v>0</v>
      </c>
      <c r="G17" s="141"/>
    </row>
    <row r="18" spans="1:7" s="130" customFormat="1" ht="15.75">
      <c r="A18" s="153"/>
      <c r="B18" s="144"/>
      <c r="C18" s="137">
        <v>0</v>
      </c>
      <c r="D18" s="138">
        <v>0</v>
      </c>
      <c r="E18" s="140">
        <v>40</v>
      </c>
      <c r="F18" s="140">
        <f>Table_132[[#This Row],[PAGAR ]]*Table_132[[#This Row],[DIÁRIA]]</f>
        <v>0</v>
      </c>
      <c r="G18" s="154"/>
    </row>
    <row r="19" spans="1:7" s="130" customFormat="1" ht="17.45" customHeight="1">
      <c r="A19" s="153"/>
      <c r="B19" s="144"/>
      <c r="C19" s="137">
        <v>0</v>
      </c>
      <c r="D19" s="138">
        <v>0</v>
      </c>
      <c r="E19" s="140">
        <v>40</v>
      </c>
      <c r="F19" s="140">
        <f>Table_132[[#This Row],[PAGAR ]]*Table_132[[#This Row],[DIÁRIA]]</f>
        <v>0</v>
      </c>
      <c r="G19" s="141"/>
    </row>
    <row r="20" spans="1:7" s="130" customFormat="1" ht="17.45" customHeight="1">
      <c r="A20" s="155"/>
      <c r="B20" s="309" t="s">
        <v>51</v>
      </c>
      <c r="C20" s="310"/>
      <c r="D20" s="310"/>
      <c r="E20" s="311"/>
      <c r="F20" s="156">
        <f>SUM(Table_132[À PAGAR])</f>
        <v>0</v>
      </c>
      <c r="G20" s="157"/>
    </row>
    <row r="21" spans="1:7" s="130" customFormat="1" ht="17.45" customHeight="1">
      <c r="A21" s="131"/>
      <c r="B21" s="22"/>
      <c r="C21" s="8"/>
      <c r="D21" s="8"/>
      <c r="E21" s="8"/>
      <c r="F21" s="8"/>
      <c r="G21" s="22"/>
    </row>
    <row r="22" spans="1:7" s="130" customFormat="1" ht="24.95" customHeight="1"/>
    <row r="23" spans="1:7" s="130" customFormat="1" ht="15.95" customHeight="1"/>
    <row r="24" spans="1:7" s="130" customFormat="1" ht="15.95" customHeight="1"/>
    <row r="25" spans="1:7" s="130" customFormat="1" ht="15.95" customHeight="1"/>
    <row r="26" spans="1:7" s="130" customFormat="1" ht="15.95" customHeight="1"/>
    <row r="27" spans="1:7" s="130" customFormat="1" ht="15.75" customHeight="1"/>
    <row r="28" spans="1:7" ht="15.75" customHeight="1">
      <c r="A28"/>
      <c r="B28"/>
      <c r="C28"/>
      <c r="D28"/>
      <c r="E28"/>
      <c r="F28"/>
      <c r="G28"/>
    </row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</sheetData>
  <mergeCells count="2">
    <mergeCell ref="B20:E20"/>
    <mergeCell ref="A1:G2"/>
  </mergeCells>
  <printOptions horizontalCentered="1"/>
  <pageMargins left="0.196850393700787" right="0.196850393700787" top="0.39370078740157499" bottom="0.196850393700787" header="0" footer="0"/>
  <pageSetup paperSize="9" scale="75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D99"/>
  <sheetViews>
    <sheetView showGridLines="0" zoomScale="80" zoomScaleNormal="80" workbookViewId="0">
      <selection activeCell="J16" sqref="J16"/>
    </sheetView>
  </sheetViews>
  <sheetFormatPr defaultColWidth="14.42578125" defaultRowHeight="15"/>
  <cols>
    <col min="1" max="1" width="10.7109375" style="8" customWidth="1"/>
    <col min="2" max="2" width="0.7109375" style="9" customWidth="1"/>
    <col min="3" max="11" width="13.28515625" style="8" customWidth="1"/>
    <col min="12" max="12" width="14.42578125" style="8" customWidth="1"/>
    <col min="13" max="13" width="13.28515625" style="8" customWidth="1"/>
    <col min="14" max="16" width="11.7109375" style="8" customWidth="1"/>
    <col min="17" max="17" width="0.7109375" style="8" customWidth="1"/>
    <col min="18" max="18" width="16.140625" style="8" hidden="1" customWidth="1"/>
    <col min="19" max="19" width="23" style="8" hidden="1" customWidth="1"/>
    <col min="20" max="20" width="23.140625" style="8" hidden="1" customWidth="1"/>
    <col min="21" max="21" width="19.42578125" style="8" hidden="1" customWidth="1"/>
    <col min="22" max="22" width="23" style="8" hidden="1" customWidth="1"/>
    <col min="23" max="23" width="32" style="8" hidden="1" customWidth="1"/>
    <col min="24" max="24" width="19.42578125" style="8" hidden="1" customWidth="1"/>
    <col min="25" max="25" width="35.42578125" style="8" hidden="1" customWidth="1"/>
    <col min="26" max="26" width="40.42578125" style="8" customWidth="1"/>
    <col min="27" max="27" width="1.7109375" style="8" customWidth="1"/>
    <col min="28" max="16384" width="14.42578125" style="8"/>
  </cols>
  <sheetData>
    <row r="1" spans="1:30">
      <c r="A1" s="10"/>
      <c r="B1" s="11"/>
      <c r="C1" s="12"/>
      <c r="D1" s="207" t="s">
        <v>0</v>
      </c>
      <c r="E1" s="208"/>
      <c r="F1" s="12"/>
      <c r="G1" s="12"/>
      <c r="H1" s="12"/>
      <c r="I1" s="14"/>
      <c r="J1" s="12"/>
      <c r="K1" s="12"/>
      <c r="L1" s="12"/>
      <c r="M1" s="12"/>
      <c r="N1" s="12"/>
      <c r="O1" s="12"/>
      <c r="P1" s="66"/>
      <c r="Q1" s="67"/>
      <c r="R1" s="67"/>
      <c r="S1" s="67"/>
      <c r="T1" s="17"/>
      <c r="U1" s="17"/>
      <c r="V1" s="17"/>
      <c r="W1" s="17"/>
      <c r="X1" s="17"/>
      <c r="Y1" s="17"/>
      <c r="Z1" s="107" t="s">
        <v>1</v>
      </c>
      <c r="AA1" s="118">
        <v>0.75</v>
      </c>
      <c r="AB1" s="125">
        <v>6.9444444444444404E-4</v>
      </c>
      <c r="AC1" s="8" t="s">
        <v>2</v>
      </c>
      <c r="AD1" s="125">
        <v>0.75</v>
      </c>
    </row>
    <row r="2" spans="1:30">
      <c r="A2" s="15"/>
      <c r="B2" s="16"/>
      <c r="C2" s="17"/>
      <c r="D2" s="15"/>
      <c r="E2" s="17"/>
      <c r="F2" s="17"/>
      <c r="G2" s="17"/>
      <c r="H2" s="17"/>
      <c r="I2" s="19"/>
      <c r="J2" s="17"/>
      <c r="K2" s="17"/>
      <c r="L2" s="17"/>
      <c r="M2" s="17"/>
      <c r="N2" s="17"/>
      <c r="O2" s="17"/>
      <c r="P2" s="21"/>
      <c r="Q2" s="67"/>
      <c r="R2" s="67"/>
      <c r="S2" s="67"/>
      <c r="T2" s="17"/>
      <c r="U2" s="17"/>
      <c r="V2" s="17"/>
      <c r="W2" s="17"/>
      <c r="X2" s="17"/>
      <c r="Y2" s="17"/>
      <c r="Z2" s="108"/>
      <c r="AA2" s="126">
        <v>38</v>
      </c>
      <c r="AC2" s="8" t="s">
        <v>3</v>
      </c>
      <c r="AD2" s="125">
        <v>0.749305555555556</v>
      </c>
    </row>
    <row r="3" spans="1:30">
      <c r="A3" s="15"/>
      <c r="B3" s="20"/>
      <c r="C3" s="17"/>
      <c r="D3" s="209" t="s">
        <v>4</v>
      </c>
      <c r="E3" s="210"/>
      <c r="F3" s="17"/>
      <c r="G3" s="17"/>
      <c r="H3" s="17"/>
      <c r="I3" s="17"/>
      <c r="J3" s="17"/>
      <c r="K3" s="17"/>
      <c r="L3" s="17" t="s">
        <v>6</v>
      </c>
      <c r="M3" s="68"/>
      <c r="N3" s="17"/>
      <c r="O3" s="68"/>
      <c r="P3" s="21"/>
      <c r="Q3" s="67"/>
      <c r="R3" s="67"/>
      <c r="S3" s="67"/>
      <c r="T3" s="17"/>
      <c r="U3" s="17"/>
      <c r="V3" s="17"/>
      <c r="W3" s="17"/>
      <c r="X3" s="17"/>
      <c r="Y3" s="17"/>
      <c r="Z3" s="109" t="s">
        <v>7</v>
      </c>
      <c r="AA3" s="126">
        <v>0</v>
      </c>
      <c r="AC3" s="8" t="s">
        <v>8</v>
      </c>
      <c r="AD3" s="125">
        <v>0</v>
      </c>
    </row>
    <row r="4" spans="1:30">
      <c r="A4" s="15"/>
      <c r="B4" s="20"/>
      <c r="C4" s="17"/>
      <c r="D4" s="211" t="s">
        <v>9</v>
      </c>
      <c r="E4" s="212"/>
      <c r="F4" s="23"/>
      <c r="G4" s="23"/>
      <c r="H4" s="23"/>
      <c r="I4" s="23"/>
      <c r="J4" s="23"/>
      <c r="K4" s="23"/>
      <c r="L4" s="23" t="s">
        <v>11</v>
      </c>
      <c r="M4" s="69" t="s">
        <v>12</v>
      </c>
      <c r="N4" s="23" t="s">
        <v>13</v>
      </c>
      <c r="O4" s="69"/>
      <c r="P4" s="70"/>
      <c r="Q4" s="67"/>
      <c r="R4" s="67"/>
      <c r="S4" s="67"/>
      <c r="T4" s="17"/>
      <c r="U4" s="98"/>
      <c r="V4" s="17"/>
      <c r="W4" s="17"/>
      <c r="X4" s="17"/>
      <c r="Y4" s="17"/>
      <c r="Z4" s="109" t="s">
        <v>14</v>
      </c>
      <c r="AA4" s="17"/>
    </row>
    <row r="5" spans="1:30" ht="15.75" customHeight="1">
      <c r="A5" s="24"/>
      <c r="B5" s="16"/>
      <c r="C5" s="25"/>
      <c r="D5" s="213" t="s">
        <v>15</v>
      </c>
      <c r="E5" s="214"/>
      <c r="F5" s="217" t="s">
        <v>16</v>
      </c>
      <c r="G5" s="218"/>
      <c r="H5" s="218"/>
      <c r="I5" s="218"/>
      <c r="J5" s="201"/>
      <c r="K5" s="202"/>
      <c r="L5" s="202"/>
      <c r="M5" s="202"/>
      <c r="N5" s="202"/>
      <c r="O5" s="202"/>
      <c r="P5" s="203"/>
      <c r="Q5" s="67"/>
      <c r="R5" s="67"/>
      <c r="S5" s="67"/>
      <c r="T5" s="17"/>
      <c r="U5" s="98"/>
      <c r="V5" s="17"/>
      <c r="W5" s="17"/>
      <c r="X5" s="17"/>
      <c r="Y5" s="17"/>
      <c r="Z5" s="110"/>
      <c r="AA5" s="17"/>
    </row>
    <row r="6" spans="1:30">
      <c r="A6" s="15"/>
      <c r="B6" s="16"/>
      <c r="C6" s="17"/>
      <c r="D6" s="215"/>
      <c r="E6" s="216"/>
      <c r="F6" s="220"/>
      <c r="G6" s="221"/>
      <c r="H6" s="221"/>
      <c r="I6" s="221"/>
      <c r="J6" s="204"/>
      <c r="K6" s="205"/>
      <c r="L6" s="205"/>
      <c r="M6" s="205"/>
      <c r="N6" s="205"/>
      <c r="O6" s="205"/>
      <c r="P6" s="206"/>
      <c r="Q6" s="67"/>
      <c r="R6" s="67"/>
      <c r="S6" s="67"/>
      <c r="T6" s="17"/>
      <c r="U6" s="98"/>
      <c r="V6" s="17"/>
      <c r="W6" s="17"/>
      <c r="X6" s="17"/>
      <c r="Y6" s="17"/>
      <c r="Z6" s="111" t="s">
        <v>17</v>
      </c>
      <c r="AA6" s="17"/>
    </row>
    <row r="7" spans="1:30" ht="15" customHeight="1">
      <c r="A7" s="15"/>
      <c r="B7" s="20"/>
      <c r="C7" s="17"/>
      <c r="D7" s="15" t="s">
        <v>18</v>
      </c>
      <c r="E7" s="27"/>
      <c r="F7" s="17"/>
      <c r="G7" s="17"/>
      <c r="H7" s="17"/>
      <c r="I7" s="17"/>
      <c r="J7" s="17"/>
      <c r="K7" s="17"/>
      <c r="L7" s="17"/>
      <c r="M7" s="17"/>
      <c r="N7" s="17"/>
      <c r="O7" s="17"/>
      <c r="P7" s="21"/>
      <c r="Q7"/>
      <c r="R7" s="17" t="s">
        <v>19</v>
      </c>
      <c r="S7" s="99">
        <v>38</v>
      </c>
      <c r="T7" s="17"/>
      <c r="U7" s="98"/>
      <c r="V7" s="17"/>
      <c r="W7" s="17"/>
      <c r="X7" s="17"/>
      <c r="Y7" s="17"/>
      <c r="Z7" s="229">
        <v>44316</v>
      </c>
      <c r="AA7" s="17"/>
    </row>
    <row r="8" spans="1:30" ht="15.75" customHeight="1">
      <c r="A8" s="28"/>
      <c r="B8" s="29"/>
      <c r="C8" s="30"/>
      <c r="D8" s="28" t="s">
        <v>20</v>
      </c>
      <c r="E8" s="32"/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  <c r="Q8" s="17"/>
      <c r="R8" s="17" t="s">
        <v>21</v>
      </c>
      <c r="S8" s="99">
        <v>38</v>
      </c>
      <c r="T8" s="17"/>
      <c r="U8" s="98"/>
      <c r="V8" s="17"/>
      <c r="W8" s="17"/>
      <c r="X8" s="17"/>
      <c r="Y8" s="17"/>
      <c r="Z8" s="230"/>
      <c r="AA8" s="17"/>
      <c r="AB8" s="112"/>
    </row>
    <row r="9" spans="1:30" ht="7.5" customHeight="1">
      <c r="A9" s="33"/>
      <c r="B9" s="20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71"/>
      <c r="O9" s="71"/>
      <c r="P9" s="71"/>
      <c r="Q9" s="17"/>
      <c r="R9" s="17"/>
      <c r="S9" s="99"/>
      <c r="T9" s="17"/>
      <c r="U9" s="98"/>
      <c r="V9" s="17"/>
      <c r="W9" s="17"/>
      <c r="X9" s="17"/>
      <c r="Y9" s="17"/>
      <c r="Z9" s="17"/>
      <c r="AA9" s="17"/>
    </row>
    <row r="10" spans="1:30" ht="15.75">
      <c r="A10" s="231" t="s">
        <v>22</v>
      </c>
      <c r="C10" s="233" t="s">
        <v>23</v>
      </c>
      <c r="D10" s="235" t="s">
        <v>25</v>
      </c>
      <c r="E10" s="237" t="s">
        <v>26</v>
      </c>
      <c r="F10" s="238"/>
      <c r="G10" s="237" t="s">
        <v>27</v>
      </c>
      <c r="H10" s="238"/>
      <c r="I10" s="239" t="s">
        <v>28</v>
      </c>
      <c r="J10" s="320" t="s">
        <v>117</v>
      </c>
      <c r="K10" s="322" t="s">
        <v>118</v>
      </c>
      <c r="L10" s="239" t="s">
        <v>119</v>
      </c>
      <c r="M10" s="239" t="s">
        <v>120</v>
      </c>
      <c r="N10" s="245" t="s">
        <v>35</v>
      </c>
      <c r="O10" s="246"/>
      <c r="P10" s="247"/>
      <c r="Q10" s="17"/>
      <c r="R10" s="17"/>
      <c r="S10" s="99"/>
      <c r="T10" s="17"/>
      <c r="U10" s="17"/>
      <c r="V10" s="17"/>
      <c r="W10" s="17"/>
      <c r="X10" s="17"/>
      <c r="Y10" s="17"/>
      <c r="Z10" s="251" t="s">
        <v>36</v>
      </c>
    </row>
    <row r="11" spans="1:30" ht="15.75">
      <c r="A11" s="232"/>
      <c r="B11" s="35"/>
      <c r="C11" s="234"/>
      <c r="D11" s="236"/>
      <c r="E11" s="37" t="s">
        <v>38</v>
      </c>
      <c r="F11" s="37" t="s">
        <v>39</v>
      </c>
      <c r="G11" s="37" t="s">
        <v>38</v>
      </c>
      <c r="H11" s="37" t="s">
        <v>39</v>
      </c>
      <c r="I11" s="240"/>
      <c r="J11" s="321"/>
      <c r="K11" s="322"/>
      <c r="L11" s="240"/>
      <c r="M11" s="240"/>
      <c r="N11" s="248"/>
      <c r="O11" s="249"/>
      <c r="P11" s="250"/>
      <c r="Q11" s="17"/>
      <c r="R11" s="100" t="s">
        <v>40</v>
      </c>
      <c r="S11" s="100" t="s">
        <v>41</v>
      </c>
      <c r="T11" s="100" t="s">
        <v>42</v>
      </c>
      <c r="U11" s="100" t="s">
        <v>43</v>
      </c>
      <c r="V11" s="100" t="s">
        <v>44</v>
      </c>
      <c r="W11" s="100" t="s">
        <v>45</v>
      </c>
      <c r="X11" s="100" t="s">
        <v>46</v>
      </c>
      <c r="Y11" s="37" t="s">
        <v>47</v>
      </c>
      <c r="Z11" s="252"/>
      <c r="AB11" s="8" t="s">
        <v>48</v>
      </c>
      <c r="AC11" s="8" t="e">
        <f>COUNTIF(#REF!,$AA$2)</f>
        <v>#REF!</v>
      </c>
      <c r="AD11" s="126" t="e">
        <f>SUM(#REF!)</f>
        <v>#REF!</v>
      </c>
    </row>
    <row r="12" spans="1:30">
      <c r="A12" s="38">
        <v>44341</v>
      </c>
      <c r="B12" s="20" t="e">
        <f>VLOOKUP($A12,Datas!$B:$E,4,0)</f>
        <v>#N/A</v>
      </c>
      <c r="C12" s="39" t="str">
        <f t="array" ref="C12">TEXT(INDEX($A$12:$A$41,MATCH(Datas!A2&amp;Datas!C2&amp;Datas!D2,Datas!$A$2:$A$336&amp;Datas!$C$2:$C$336&amp;Datas!$D$2:$D$336,0)),"DDD")</f>
        <v>seg</v>
      </c>
      <c r="D12" s="41"/>
      <c r="E12" s="41"/>
      <c r="F12" s="41"/>
      <c r="G12" s="41"/>
      <c r="H12" s="41"/>
      <c r="I12" s="41"/>
      <c r="J12" s="75"/>
      <c r="K12" s="118"/>
      <c r="L12" s="77"/>
      <c r="M12" s="76"/>
      <c r="N12" s="323"/>
      <c r="O12" s="324"/>
      <c r="P12" s="325"/>
      <c r="Q12" s="17"/>
      <c r="R12" s="41">
        <f>S12+U12</f>
        <v>0</v>
      </c>
      <c r="S12" s="41">
        <f t="shared" ref="S12:S41" si="0">IFERROR(T12-W12,0)</f>
        <v>0</v>
      </c>
      <c r="T12" s="41">
        <f t="shared" ref="T12:T21" si="1">IF(AND(D12&gt;=$Y$14,D12&lt;=$Y$15),$Y$15,IF(AND(D12&gt;=$Y$12,D12&lt;=$Y$13),$Y$12,0))</f>
        <v>0</v>
      </c>
      <c r="U12" s="41">
        <f t="shared" ref="U12:U41" si="2">IFERROR(X12-V12,0)</f>
        <v>0</v>
      </c>
      <c r="V12" s="41">
        <f t="shared" ref="V12:V41" si="3">IF(AND(I12&gt;=$Y$14,I12&lt;=$Y$15),$Y$15,IF(AND(I12&gt;=$Y$12,I12&lt;=$Y$13),$Y$12,0))</f>
        <v>0</v>
      </c>
      <c r="W12" s="41">
        <f t="shared" ref="W12:W21" si="4">IF(AND($D12&gt;=$Y$12,$D12&lt;=$Y$13),$D12,IF(AND($D12&gt;=$Y$14,$D12&lt;=$Y$15),$D12,0))</f>
        <v>0</v>
      </c>
      <c r="X12" s="41">
        <f t="shared" ref="X12:X41" si="5">IF(AND($I12&gt;=$Y$12,$I12&lt;=$Y$13),$I12,IF(AND($I12&gt;=$Y$14,$I12&lt;=$Y$15),$I12,0))</f>
        <v>0</v>
      </c>
      <c r="Y12" s="127">
        <v>0.91666666666666696</v>
      </c>
      <c r="Z12" s="114"/>
      <c r="AB12" s="8" t="s">
        <v>49</v>
      </c>
      <c r="AC12" s="8" t="e">
        <f>COUNTIF(#REF!,$AA$2)</f>
        <v>#REF!</v>
      </c>
      <c r="AD12" s="126" t="e">
        <f>SUM(#REF!)</f>
        <v>#REF!</v>
      </c>
    </row>
    <row r="13" spans="1:30">
      <c r="A13" s="42">
        <f>A12+1</f>
        <v>44342</v>
      </c>
      <c r="B13" s="20" t="e">
        <f>VLOOKUP($A13,Datas!$B:$E,4,0)</f>
        <v>#N/A</v>
      </c>
      <c r="C13" s="39" t="str">
        <f t="array" ref="C13">TEXT(INDEX($A$12:$A$41,MATCH(Datas!A3&amp;Datas!C3&amp;Datas!D3,Datas!$A$2:$A$336&amp;Datas!$C$2:$C$336&amp;Datas!$D$2:$D$336,0)),"DDD")</f>
        <v>ter</v>
      </c>
      <c r="D13" s="41"/>
      <c r="E13" s="41"/>
      <c r="F13" s="41"/>
      <c r="G13" s="41"/>
      <c r="H13" s="41"/>
      <c r="I13" s="41"/>
      <c r="J13" s="75"/>
      <c r="K13" s="118"/>
      <c r="L13" s="77"/>
      <c r="M13" s="76"/>
      <c r="N13" s="323"/>
      <c r="O13" s="324"/>
      <c r="P13" s="325"/>
      <c r="Q13" s="17"/>
      <c r="R13" s="41">
        <f t="shared" ref="R13:R41" si="6">S13+U13</f>
        <v>0</v>
      </c>
      <c r="S13" s="41">
        <f t="shared" si="0"/>
        <v>0</v>
      </c>
      <c r="T13" s="41">
        <f t="shared" si="1"/>
        <v>0</v>
      </c>
      <c r="U13" s="41">
        <f t="shared" si="2"/>
        <v>0</v>
      </c>
      <c r="V13" s="41">
        <f t="shared" si="3"/>
        <v>0</v>
      </c>
      <c r="W13" s="41">
        <f t="shared" si="4"/>
        <v>0</v>
      </c>
      <c r="X13" s="41">
        <f t="shared" si="5"/>
        <v>0</v>
      </c>
      <c r="Y13" s="127">
        <v>0.999305555555556</v>
      </c>
      <c r="Z13" s="114"/>
    </row>
    <row r="14" spans="1:30">
      <c r="A14" s="42">
        <f t="shared" ref="A14:A41" si="7">A13+1</f>
        <v>44343</v>
      </c>
      <c r="B14" s="20" t="e">
        <f>VLOOKUP($A14,Datas!$B:$E,4,0)</f>
        <v>#N/A</v>
      </c>
      <c r="C14" s="39" t="str">
        <f t="array" ref="C14">TEXT(INDEX($A$12:$A$41,MATCH(Datas!A4&amp;Datas!C4&amp;Datas!D4,Datas!$A$2:$A$336&amp;Datas!$C$2:$C$336&amp;Datas!$D$2:$D$336,0)),"DDD")</f>
        <v>qua</v>
      </c>
      <c r="D14" s="41"/>
      <c r="E14" s="41"/>
      <c r="F14" s="41"/>
      <c r="G14" s="41"/>
      <c r="H14" s="41"/>
      <c r="I14" s="41"/>
      <c r="J14" s="75"/>
      <c r="K14" s="118"/>
      <c r="L14" s="77"/>
      <c r="M14" s="76"/>
      <c r="N14" s="323"/>
      <c r="O14" s="324"/>
      <c r="P14" s="325"/>
      <c r="Q14" s="17"/>
      <c r="R14" s="41">
        <f t="shared" si="6"/>
        <v>0</v>
      </c>
      <c r="S14" s="41">
        <f t="shared" si="0"/>
        <v>0</v>
      </c>
      <c r="T14" s="41">
        <f t="shared" si="1"/>
        <v>0</v>
      </c>
      <c r="U14" s="41">
        <f t="shared" si="2"/>
        <v>0</v>
      </c>
      <c r="V14" s="41">
        <f t="shared" si="3"/>
        <v>0</v>
      </c>
      <c r="W14" s="41">
        <f t="shared" si="4"/>
        <v>0</v>
      </c>
      <c r="X14" s="41">
        <f t="shared" si="5"/>
        <v>0</v>
      </c>
      <c r="Y14" s="127">
        <v>6.9444444444444404E-4</v>
      </c>
      <c r="Z14" s="115"/>
    </row>
    <row r="15" spans="1:30">
      <c r="A15" s="42">
        <f t="shared" si="7"/>
        <v>44344</v>
      </c>
      <c r="B15" s="20" t="e">
        <f>VLOOKUP($A15,Datas!$B:$E,4,0)</f>
        <v>#N/A</v>
      </c>
      <c r="C15" s="39" t="str">
        <f t="array" ref="C15">TEXT(INDEX($A$12:$A$41,MATCH(Datas!A5&amp;Datas!C5&amp;Datas!D5,Datas!$A$2:$A$336&amp;Datas!$C$2:$C$336&amp;Datas!$D$2:$D$336,0)),"DDD")</f>
        <v>qui</v>
      </c>
      <c r="D15" s="41"/>
      <c r="E15" s="41"/>
      <c r="F15" s="41"/>
      <c r="G15" s="41"/>
      <c r="H15" s="41"/>
      <c r="I15" s="41"/>
      <c r="J15" s="75"/>
      <c r="K15" s="118"/>
      <c r="L15" s="77"/>
      <c r="M15" s="76"/>
      <c r="N15" s="323"/>
      <c r="O15" s="324"/>
      <c r="P15" s="325"/>
      <c r="Q15" s="17"/>
      <c r="R15" s="41">
        <f t="shared" si="6"/>
        <v>0</v>
      </c>
      <c r="S15" s="41">
        <f t="shared" si="0"/>
        <v>0</v>
      </c>
      <c r="T15" s="41">
        <f t="shared" si="1"/>
        <v>0</v>
      </c>
      <c r="U15" s="41">
        <f t="shared" si="2"/>
        <v>0</v>
      </c>
      <c r="V15" s="41">
        <f t="shared" si="3"/>
        <v>0</v>
      </c>
      <c r="W15" s="41">
        <f t="shared" si="4"/>
        <v>0</v>
      </c>
      <c r="X15" s="41">
        <f t="shared" si="5"/>
        <v>0</v>
      </c>
      <c r="Y15" s="127">
        <v>0.20833333333333301</v>
      </c>
      <c r="Z15" s="115"/>
    </row>
    <row r="16" spans="1:30">
      <c r="A16" s="42">
        <f t="shared" si="7"/>
        <v>44345</v>
      </c>
      <c r="B16" s="20" t="e">
        <f>VLOOKUP($A16,Datas!$B:$E,4,0)</f>
        <v>#N/A</v>
      </c>
      <c r="C16" s="39" t="str">
        <f t="array" ref="C16">TEXT(INDEX($A$12:$A$41,MATCH(Datas!A6&amp;Datas!C6&amp;Datas!D6,Datas!$A$2:$A$336&amp;Datas!$C$2:$C$336&amp;Datas!$D$2:$D$336,0)),"DDD")</f>
        <v>sex</v>
      </c>
      <c r="D16" s="41"/>
      <c r="E16" s="41"/>
      <c r="F16" s="41"/>
      <c r="G16" s="41"/>
      <c r="H16" s="41"/>
      <c r="I16" s="41"/>
      <c r="J16" s="75"/>
      <c r="K16" s="118"/>
      <c r="L16" s="77"/>
      <c r="M16" s="76"/>
      <c r="N16" s="323"/>
      <c r="O16" s="324"/>
      <c r="P16" s="325"/>
      <c r="Q16" s="17"/>
      <c r="R16" s="41">
        <f t="shared" si="6"/>
        <v>0</v>
      </c>
      <c r="S16" s="41">
        <f t="shared" si="0"/>
        <v>0</v>
      </c>
      <c r="T16" s="41">
        <f t="shared" si="1"/>
        <v>0</v>
      </c>
      <c r="U16" s="41">
        <f t="shared" si="2"/>
        <v>0</v>
      </c>
      <c r="V16" s="41">
        <f t="shared" si="3"/>
        <v>0</v>
      </c>
      <c r="W16" s="41">
        <f t="shared" si="4"/>
        <v>0</v>
      </c>
      <c r="X16" s="41">
        <f t="shared" si="5"/>
        <v>0</v>
      </c>
      <c r="Y16" s="127"/>
      <c r="Z16" s="114"/>
    </row>
    <row r="17" spans="1:26">
      <c r="A17" s="42">
        <f t="shared" si="7"/>
        <v>44346</v>
      </c>
      <c r="B17" s="20" t="e">
        <f>VLOOKUP($A17,Datas!$B:$E,4,0)</f>
        <v>#N/A</v>
      </c>
      <c r="C17" s="39" t="str">
        <f t="array" ref="C17">TEXT(INDEX($A$12:$A$41,MATCH(Datas!A7&amp;Datas!C7&amp;Datas!D7,Datas!$A$2:$A$336&amp;Datas!$C$2:$C$336&amp;Datas!$D$2:$D$336,0)),"DDD")</f>
        <v>sáb</v>
      </c>
      <c r="D17" s="41"/>
      <c r="E17" s="41"/>
      <c r="F17" s="41"/>
      <c r="G17" s="41"/>
      <c r="H17" s="41"/>
      <c r="I17" s="41"/>
      <c r="J17" s="75"/>
      <c r="K17" s="118"/>
      <c r="L17" s="77"/>
      <c r="M17" s="76"/>
      <c r="N17" s="78"/>
      <c r="O17" s="79"/>
      <c r="P17" s="80"/>
      <c r="Q17" s="17"/>
      <c r="R17" s="41">
        <f t="shared" si="6"/>
        <v>0</v>
      </c>
      <c r="S17" s="41">
        <f t="shared" si="0"/>
        <v>0</v>
      </c>
      <c r="T17" s="41">
        <f t="shared" si="1"/>
        <v>0</v>
      </c>
      <c r="U17" s="41">
        <f t="shared" si="2"/>
        <v>0</v>
      </c>
      <c r="V17" s="41">
        <f t="shared" si="3"/>
        <v>0</v>
      </c>
      <c r="W17" s="41">
        <f t="shared" si="4"/>
        <v>0</v>
      </c>
      <c r="X17" s="41">
        <f t="shared" si="5"/>
        <v>0</v>
      </c>
      <c r="Y17" s="127"/>
      <c r="Z17" s="115"/>
    </row>
    <row r="18" spans="1:26">
      <c r="A18" s="42">
        <f t="shared" si="7"/>
        <v>44347</v>
      </c>
      <c r="B18" s="20" t="e">
        <f>VLOOKUP($A18,Datas!$B:$E,4,0)</f>
        <v>#N/A</v>
      </c>
      <c r="C18" s="39" t="str">
        <f t="array" ref="C18">TEXT(INDEX($A$12:$A$41,MATCH(Datas!A8&amp;Datas!C8&amp;Datas!D8,Datas!$A$2:$A$336&amp;Datas!$C$2:$C$336&amp;Datas!$D$2:$D$336,0)),"DDD")</f>
        <v>dom</v>
      </c>
      <c r="D18" s="41"/>
      <c r="E18" s="41"/>
      <c r="F18" s="41"/>
      <c r="G18" s="41"/>
      <c r="H18" s="41"/>
      <c r="I18" s="41"/>
      <c r="J18" s="75"/>
      <c r="K18" s="118"/>
      <c r="L18" s="77"/>
      <c r="M18" s="76"/>
      <c r="N18" s="323"/>
      <c r="O18" s="324"/>
      <c r="P18" s="325"/>
      <c r="Q18" s="17"/>
      <c r="R18" s="41">
        <f t="shared" si="6"/>
        <v>0</v>
      </c>
      <c r="S18" s="41">
        <f t="shared" si="0"/>
        <v>0</v>
      </c>
      <c r="T18" s="41">
        <f t="shared" si="1"/>
        <v>0</v>
      </c>
      <c r="U18" s="41">
        <f t="shared" si="2"/>
        <v>0</v>
      </c>
      <c r="V18" s="41">
        <f t="shared" si="3"/>
        <v>0</v>
      </c>
      <c r="W18" s="41">
        <f t="shared" si="4"/>
        <v>0</v>
      </c>
      <c r="X18" s="41">
        <f t="shared" si="5"/>
        <v>0</v>
      </c>
      <c r="Y18" s="127"/>
      <c r="Z18" s="114"/>
    </row>
    <row r="19" spans="1:26">
      <c r="A19" s="42">
        <f t="shared" si="7"/>
        <v>44348</v>
      </c>
      <c r="B19" s="20" t="e">
        <f>VLOOKUP($A19,Datas!$B:$E,4,0)</f>
        <v>#N/A</v>
      </c>
      <c r="C19" s="39" t="str">
        <f t="array" ref="C19">TEXT(INDEX($A$12:$A$41,MATCH(Datas!A9&amp;Datas!C9&amp;Datas!D9,Datas!$A$2:$A$336&amp;Datas!$C$2:$C$336&amp;Datas!$D$2:$D$336,0)),"DDD")</f>
        <v>seg</v>
      </c>
      <c r="D19" s="41"/>
      <c r="E19" s="41"/>
      <c r="F19" s="41"/>
      <c r="G19" s="41"/>
      <c r="H19" s="41"/>
      <c r="I19" s="41"/>
      <c r="J19" s="75"/>
      <c r="K19" s="118"/>
      <c r="L19" s="77"/>
      <c r="M19" s="76"/>
      <c r="N19" s="323"/>
      <c r="O19" s="324"/>
      <c r="P19" s="325"/>
      <c r="Q19" s="17"/>
      <c r="R19" s="41">
        <f t="shared" si="6"/>
        <v>0</v>
      </c>
      <c r="S19" s="41">
        <f t="shared" si="0"/>
        <v>0</v>
      </c>
      <c r="T19" s="41">
        <f t="shared" si="1"/>
        <v>0</v>
      </c>
      <c r="U19" s="41">
        <f t="shared" si="2"/>
        <v>0</v>
      </c>
      <c r="V19" s="41">
        <f t="shared" si="3"/>
        <v>0</v>
      </c>
      <c r="W19" s="41">
        <f t="shared" si="4"/>
        <v>0</v>
      </c>
      <c r="X19" s="41">
        <f t="shared" si="5"/>
        <v>0</v>
      </c>
      <c r="Y19" s="127"/>
      <c r="Z19" s="115"/>
    </row>
    <row r="20" spans="1:26">
      <c r="A20" s="42">
        <f t="shared" si="7"/>
        <v>44349</v>
      </c>
      <c r="B20" s="20" t="e">
        <f>VLOOKUP($A20,Datas!$B:$E,4,0)</f>
        <v>#N/A</v>
      </c>
      <c r="C20" s="39" t="str">
        <f t="array" ref="C20">TEXT(INDEX($A$12:$A$41,MATCH(Datas!A10&amp;Datas!C10&amp;Datas!D10,Datas!$A$2:$A$336&amp;Datas!$C$2:$C$336&amp;Datas!$D$2:$D$336,0)),"DDD")</f>
        <v>ter</v>
      </c>
      <c r="D20" s="41"/>
      <c r="E20" s="41"/>
      <c r="F20" s="41"/>
      <c r="G20" s="41"/>
      <c r="H20" s="41"/>
      <c r="I20" s="41"/>
      <c r="J20" s="75"/>
      <c r="K20" s="118"/>
      <c r="L20" s="77"/>
      <c r="M20" s="76"/>
      <c r="N20" s="323"/>
      <c r="O20" s="324"/>
      <c r="P20" s="325"/>
      <c r="Q20" s="17"/>
      <c r="R20" s="41">
        <f t="shared" si="6"/>
        <v>0</v>
      </c>
      <c r="S20" s="41">
        <f t="shared" si="0"/>
        <v>0</v>
      </c>
      <c r="T20" s="41">
        <f t="shared" si="1"/>
        <v>0</v>
      </c>
      <c r="U20" s="41">
        <f t="shared" si="2"/>
        <v>0</v>
      </c>
      <c r="V20" s="41">
        <f t="shared" si="3"/>
        <v>0</v>
      </c>
      <c r="W20" s="41">
        <f t="shared" si="4"/>
        <v>0</v>
      </c>
      <c r="X20" s="41">
        <f t="shared" si="5"/>
        <v>0</v>
      </c>
      <c r="Y20" s="129"/>
      <c r="Z20" s="115"/>
    </row>
    <row r="21" spans="1:26">
      <c r="A21" s="42">
        <f t="shared" si="7"/>
        <v>44350</v>
      </c>
      <c r="B21" s="20" t="e">
        <f>VLOOKUP($A21,Datas!$B:$E,4,0)</f>
        <v>#N/A</v>
      </c>
      <c r="C21" s="39" t="str">
        <f t="array" ref="C21">TEXT(INDEX($A$12:$A$41,MATCH(Datas!A11&amp;Datas!C11&amp;Datas!D11,Datas!$A$2:$A$336&amp;Datas!$C$2:$C$336&amp;Datas!$D$2:$D$336,0)),"DDD")</f>
        <v>qua</v>
      </c>
      <c r="D21" s="41"/>
      <c r="E21" s="41"/>
      <c r="F21" s="41"/>
      <c r="G21" s="41"/>
      <c r="H21" s="41"/>
      <c r="I21" s="41"/>
      <c r="J21" s="75"/>
      <c r="K21" s="118"/>
      <c r="L21" s="77"/>
      <c r="M21" s="76"/>
      <c r="N21" s="323"/>
      <c r="O21" s="324"/>
      <c r="P21" s="325"/>
      <c r="Q21" s="17"/>
      <c r="R21" s="41">
        <f t="shared" si="6"/>
        <v>0</v>
      </c>
      <c r="S21" s="41">
        <f t="shared" si="0"/>
        <v>0</v>
      </c>
      <c r="T21" s="41">
        <f t="shared" si="1"/>
        <v>0</v>
      </c>
      <c r="U21" s="41">
        <f t="shared" si="2"/>
        <v>0</v>
      </c>
      <c r="V21" s="41">
        <f t="shared" si="3"/>
        <v>0</v>
      </c>
      <c r="W21" s="41">
        <f t="shared" si="4"/>
        <v>0</v>
      </c>
      <c r="X21" s="41">
        <f t="shared" si="5"/>
        <v>0</v>
      </c>
      <c r="Y21" s="129"/>
      <c r="Z21" s="115"/>
    </row>
    <row r="22" spans="1:26">
      <c r="A22" s="42">
        <f t="shared" si="7"/>
        <v>44351</v>
      </c>
      <c r="B22" s="20" t="e">
        <f>VLOOKUP($A22,Datas!$B:$E,4,0)</f>
        <v>#N/A</v>
      </c>
      <c r="C22" s="39" t="str">
        <f t="array" ref="C22">TEXT(INDEX($A$12:$A$41,MATCH(Datas!A12&amp;Datas!C12&amp;Datas!D12,Datas!$A$2:$A$336&amp;Datas!$C$2:$C$336&amp;Datas!$D$2:$D$336,0)),"DDD")</f>
        <v>qui</v>
      </c>
      <c r="D22" s="41"/>
      <c r="E22" s="41"/>
      <c r="F22" s="41"/>
      <c r="G22" s="41"/>
      <c r="H22" s="41"/>
      <c r="I22" s="41"/>
      <c r="J22" s="75"/>
      <c r="K22" s="118"/>
      <c r="L22" s="77"/>
      <c r="M22" s="76"/>
      <c r="N22" s="78"/>
      <c r="O22" s="82"/>
      <c r="P22" s="83"/>
      <c r="Q22" s="17"/>
      <c r="R22" s="41">
        <f t="shared" si="6"/>
        <v>0</v>
      </c>
      <c r="S22" s="41">
        <f t="shared" si="0"/>
        <v>0</v>
      </c>
      <c r="T22" s="41">
        <f>IF(AND(D24&gt;=$Y$14,D24&lt;=$Y$15),$Y$15,IF(AND(D24&gt;=$Y$12,D24&lt;=$Y$13),$Y$12,0))</f>
        <v>0</v>
      </c>
      <c r="U22" s="41">
        <f t="shared" si="2"/>
        <v>0</v>
      </c>
      <c r="V22" s="41">
        <f t="shared" si="3"/>
        <v>0</v>
      </c>
      <c r="W22" s="41">
        <f>IF(AND($D24&gt;=$Y$12,$D24&lt;=$Y$13),$D24,IF(AND($D24&gt;=$Y$14,$D24&lt;=$Y$15),$D24,0))</f>
        <v>0</v>
      </c>
      <c r="X22" s="41">
        <f t="shared" si="5"/>
        <v>0</v>
      </c>
      <c r="Y22" s="129"/>
      <c r="Z22" s="115"/>
    </row>
    <row r="23" spans="1:26">
      <c r="A23" s="42">
        <f t="shared" si="7"/>
        <v>44352</v>
      </c>
      <c r="B23" s="20" t="e">
        <f>VLOOKUP($A23,Datas!$B:$E,4,0)</f>
        <v>#N/A</v>
      </c>
      <c r="C23" s="39" t="str">
        <f t="array" ref="C23">TEXT(INDEX($A$12:$A$41,MATCH(Datas!A13&amp;Datas!C13&amp;Datas!D13,Datas!$A$2:$A$336&amp;Datas!$C$2:$C$336&amp;Datas!$D$2:$D$336,0)),"DDD")</f>
        <v>sex</v>
      </c>
      <c r="D23" s="41"/>
      <c r="E23" s="41"/>
      <c r="F23" s="41"/>
      <c r="G23" s="41"/>
      <c r="H23" s="41"/>
      <c r="I23" s="41"/>
      <c r="J23" s="75"/>
      <c r="K23" s="118"/>
      <c r="L23" s="77"/>
      <c r="M23" s="76"/>
      <c r="N23" s="323"/>
      <c r="O23" s="324"/>
      <c r="P23" s="325"/>
      <c r="Q23" s="17"/>
      <c r="R23" s="41">
        <f t="shared" si="6"/>
        <v>0</v>
      </c>
      <c r="S23" s="41">
        <f t="shared" si="0"/>
        <v>0</v>
      </c>
      <c r="T23" s="41">
        <f>IF(AND(D23&gt;=$Y$14,D23&lt;=$Y$15),$Y$15,IF(AND(D23&gt;=$Y$12,D23&lt;=$Y$13),$Y$12,0))</f>
        <v>0</v>
      </c>
      <c r="U23" s="41">
        <f t="shared" si="2"/>
        <v>0</v>
      </c>
      <c r="V23" s="41">
        <f t="shared" si="3"/>
        <v>0</v>
      </c>
      <c r="W23" s="41">
        <f>IF(AND($D23&gt;=$Y$12,$D23&lt;=$Y$13),$D23,IF(AND($D23&gt;=$Y$14,$D23&lt;=$Y$15),$D23,0))</f>
        <v>0</v>
      </c>
      <c r="X23" s="41">
        <f t="shared" si="5"/>
        <v>0</v>
      </c>
      <c r="Y23" s="129"/>
      <c r="Z23" s="115"/>
    </row>
    <row r="24" spans="1:26">
      <c r="A24" s="42">
        <f t="shared" si="7"/>
        <v>44353</v>
      </c>
      <c r="B24" s="20" t="e">
        <f>VLOOKUP($A24,Datas!$B:$E,4,0)</f>
        <v>#N/A</v>
      </c>
      <c r="C24" s="39" t="str">
        <f t="array" ref="C24">TEXT(INDEX($A$12:$A$41,MATCH(Datas!A14&amp;Datas!C14&amp;Datas!D14,Datas!$A$2:$A$336&amp;Datas!$C$2:$C$336&amp;Datas!$D$2:$D$336,0)),"DDD")</f>
        <v>sáb</v>
      </c>
      <c r="D24" s="41"/>
      <c r="E24" s="41"/>
      <c r="F24" s="41"/>
      <c r="G24" s="41"/>
      <c r="H24" s="41"/>
      <c r="I24" s="41"/>
      <c r="J24" s="75"/>
      <c r="K24" s="118"/>
      <c r="L24" s="77"/>
      <c r="M24" s="76"/>
      <c r="N24" s="323"/>
      <c r="O24" s="324"/>
      <c r="P24" s="325"/>
      <c r="Q24" s="17"/>
      <c r="R24" s="41">
        <f t="shared" si="6"/>
        <v>0</v>
      </c>
      <c r="S24" s="41">
        <f t="shared" si="0"/>
        <v>0</v>
      </c>
      <c r="T24" s="41" t="e">
        <f>IF(AND(#REF!&gt;=$Y$14,#REF!&lt;=$Y$15),$Y$15,IF(AND(#REF!&gt;=$Y$12,#REF!&lt;=$Y$13),$Y$12,0))</f>
        <v>#REF!</v>
      </c>
      <c r="U24" s="41">
        <f t="shared" si="2"/>
        <v>0</v>
      </c>
      <c r="V24" s="41">
        <f t="shared" si="3"/>
        <v>0</v>
      </c>
      <c r="W24" s="41" t="e">
        <f>IF(AND(#REF!&gt;=$Y$12,#REF!&lt;=$Y$13),#REF!,IF(AND(#REF!&gt;=$Y$14,#REF!&lt;=$Y$15),#REF!,0))</f>
        <v>#REF!</v>
      </c>
      <c r="X24" s="41">
        <f t="shared" si="5"/>
        <v>0</v>
      </c>
      <c r="Y24" s="129"/>
      <c r="Z24" s="115"/>
    </row>
    <row r="25" spans="1:26">
      <c r="A25" s="42">
        <f t="shared" si="7"/>
        <v>44354</v>
      </c>
      <c r="B25" s="20" t="e">
        <f>VLOOKUP($A25,Datas!$B:$E,4,0)</f>
        <v>#N/A</v>
      </c>
      <c r="C25" s="39" t="str">
        <f t="array" ref="C25">TEXT(INDEX($A$12:$A$41,MATCH(Datas!A15&amp;Datas!C15&amp;Datas!D15,Datas!$A$2:$A$336&amp;Datas!$C$2:$C$336&amp;Datas!$D$2:$D$336,0)),"DDD")</f>
        <v>dom</v>
      </c>
      <c r="D25" s="41"/>
      <c r="E25" s="41"/>
      <c r="F25" s="41"/>
      <c r="G25" s="41"/>
      <c r="H25" s="41"/>
      <c r="I25" s="41"/>
      <c r="J25" s="75"/>
      <c r="K25" s="118"/>
      <c r="L25" s="77"/>
      <c r="M25" s="76"/>
      <c r="N25" s="323"/>
      <c r="O25" s="324"/>
      <c r="P25" s="325"/>
      <c r="Q25" s="17"/>
      <c r="R25" s="41">
        <f t="shared" si="6"/>
        <v>0</v>
      </c>
      <c r="S25" s="41">
        <f t="shared" si="0"/>
        <v>0</v>
      </c>
      <c r="T25" s="41">
        <f t="shared" ref="T25:T41" si="8">IF(AND(D25&gt;=$Y$14,D25&lt;=$Y$15),$Y$15,IF(AND(D25&gt;=$Y$12,D25&lt;=$Y$13),$Y$12,0))</f>
        <v>0</v>
      </c>
      <c r="U25" s="41">
        <f t="shared" si="2"/>
        <v>0</v>
      </c>
      <c r="V25" s="41">
        <f t="shared" si="3"/>
        <v>0</v>
      </c>
      <c r="W25" s="41">
        <f t="shared" ref="W25:W41" si="9">IF(AND($D25&gt;=$Y$12,$D25&lt;=$Y$13),$D25,IF(AND($D25&gt;=$Y$14,$D25&lt;=$Y$15),$D25,0))</f>
        <v>0</v>
      </c>
      <c r="X25" s="41">
        <f t="shared" si="5"/>
        <v>0</v>
      </c>
      <c r="Y25" s="129"/>
      <c r="Z25" s="115"/>
    </row>
    <row r="26" spans="1:26">
      <c r="A26" s="42">
        <f t="shared" si="7"/>
        <v>44355</v>
      </c>
      <c r="B26" s="20" t="e">
        <f>VLOOKUP($A26,Datas!$B:$E,4,0)</f>
        <v>#N/A</v>
      </c>
      <c r="C26" s="39" t="str">
        <f t="array" ref="C26">TEXT(INDEX($A$12:$A$41,MATCH(Datas!A16&amp;Datas!C16&amp;Datas!D16,Datas!$A$2:$A$336&amp;Datas!$C$2:$C$336&amp;Datas!$D$2:$D$336,0)),"DDD")</f>
        <v>seg</v>
      </c>
      <c r="D26" s="41"/>
      <c r="E26" s="41"/>
      <c r="F26" s="41"/>
      <c r="G26" s="41"/>
      <c r="H26" s="41"/>
      <c r="I26" s="41"/>
      <c r="J26" s="75"/>
      <c r="K26" s="118"/>
      <c r="L26" s="77"/>
      <c r="M26" s="76"/>
      <c r="N26" s="323"/>
      <c r="O26" s="324"/>
      <c r="P26" s="325"/>
      <c r="Q26" s="17"/>
      <c r="R26" s="41">
        <f t="shared" si="6"/>
        <v>0</v>
      </c>
      <c r="S26" s="41">
        <f t="shared" si="0"/>
        <v>0</v>
      </c>
      <c r="T26" s="41">
        <f t="shared" si="8"/>
        <v>0</v>
      </c>
      <c r="U26" s="41">
        <f t="shared" si="2"/>
        <v>0</v>
      </c>
      <c r="V26" s="41">
        <f t="shared" si="3"/>
        <v>0</v>
      </c>
      <c r="W26" s="41">
        <f t="shared" si="9"/>
        <v>0</v>
      </c>
      <c r="X26" s="41">
        <f t="shared" si="5"/>
        <v>0</v>
      </c>
      <c r="Y26" s="129"/>
      <c r="Z26" s="115"/>
    </row>
    <row r="27" spans="1:26">
      <c r="A27" s="42">
        <f t="shared" si="7"/>
        <v>44356</v>
      </c>
      <c r="B27" s="20" t="e">
        <f>VLOOKUP($A27,Datas!$B:$E,4,0)</f>
        <v>#N/A</v>
      </c>
      <c r="C27" s="39" t="str">
        <f t="array" ref="C27">TEXT(INDEX($A$12:$A$41,MATCH(Datas!A17&amp;Datas!C17&amp;Datas!D17,Datas!$A$2:$A$336&amp;Datas!$C$2:$C$336&amp;Datas!$D$2:$D$336,0)),"DDD")</f>
        <v>ter</v>
      </c>
      <c r="D27" s="41"/>
      <c r="E27" s="41"/>
      <c r="F27" s="41"/>
      <c r="G27" s="41"/>
      <c r="H27" s="41"/>
      <c r="I27" s="41"/>
      <c r="J27" s="75"/>
      <c r="K27" s="118"/>
      <c r="L27" s="77"/>
      <c r="M27" s="76"/>
      <c r="N27" s="323"/>
      <c r="O27" s="324"/>
      <c r="P27" s="325"/>
      <c r="Q27" s="17"/>
      <c r="R27" s="41">
        <f t="shared" si="6"/>
        <v>0</v>
      </c>
      <c r="S27" s="41">
        <f t="shared" si="0"/>
        <v>0</v>
      </c>
      <c r="T27" s="41">
        <f t="shared" si="8"/>
        <v>0</v>
      </c>
      <c r="U27" s="41">
        <f t="shared" si="2"/>
        <v>0</v>
      </c>
      <c r="V27" s="41">
        <f t="shared" si="3"/>
        <v>0</v>
      </c>
      <c r="W27" s="41">
        <f t="shared" si="9"/>
        <v>0</v>
      </c>
      <c r="X27" s="41">
        <f t="shared" si="5"/>
        <v>0</v>
      </c>
      <c r="Y27" s="129"/>
      <c r="Z27" s="115"/>
    </row>
    <row r="28" spans="1:26">
      <c r="A28" s="42">
        <f t="shared" si="7"/>
        <v>44357</v>
      </c>
      <c r="B28" s="20" t="e">
        <f>VLOOKUP($A28,Datas!$B:$E,4,0)</f>
        <v>#N/A</v>
      </c>
      <c r="C28" s="39" t="str">
        <f t="array" ref="C28">TEXT(INDEX($A$12:$A$41,MATCH(Datas!A18&amp;Datas!C18&amp;Datas!D18,Datas!$A$2:$A$336&amp;Datas!$C$2:$C$336&amp;Datas!$D$2:$D$336,0)),"DDD")</f>
        <v>qua</v>
      </c>
      <c r="D28" s="41"/>
      <c r="E28" s="41"/>
      <c r="F28" s="41"/>
      <c r="G28" s="41"/>
      <c r="H28" s="41"/>
      <c r="I28" s="41"/>
      <c r="J28" s="75"/>
      <c r="K28" s="118"/>
      <c r="L28" s="77"/>
      <c r="M28" s="76"/>
      <c r="N28" s="323"/>
      <c r="O28" s="324"/>
      <c r="P28" s="325"/>
      <c r="Q28" s="17"/>
      <c r="R28" s="41">
        <f t="shared" si="6"/>
        <v>0</v>
      </c>
      <c r="S28" s="41">
        <f t="shared" si="0"/>
        <v>0</v>
      </c>
      <c r="T28" s="41">
        <f t="shared" si="8"/>
        <v>0</v>
      </c>
      <c r="U28" s="41">
        <f t="shared" si="2"/>
        <v>0</v>
      </c>
      <c r="V28" s="41">
        <f t="shared" si="3"/>
        <v>0</v>
      </c>
      <c r="W28" s="41">
        <f t="shared" si="9"/>
        <v>0</v>
      </c>
      <c r="X28" s="41">
        <f t="shared" si="5"/>
        <v>0</v>
      </c>
      <c r="Y28" s="129"/>
      <c r="Z28" s="115"/>
    </row>
    <row r="29" spans="1:26">
      <c r="A29" s="42">
        <f t="shared" si="7"/>
        <v>44358</v>
      </c>
      <c r="B29" s="20" t="e">
        <f>VLOOKUP($A29,Datas!$B:$E,4,0)</f>
        <v>#N/A</v>
      </c>
      <c r="C29" s="39" t="str">
        <f t="array" ref="C29">TEXT(INDEX($A$12:$A$41,MATCH(Datas!A19&amp;Datas!C19&amp;Datas!D19,Datas!$A$2:$A$336&amp;Datas!$C$2:$C$336&amp;Datas!$D$2:$D$336,0)),"DDD")</f>
        <v>qui</v>
      </c>
      <c r="D29" s="41"/>
      <c r="E29" s="41"/>
      <c r="F29" s="41"/>
      <c r="G29" s="41"/>
      <c r="H29" s="41"/>
      <c r="I29" s="41"/>
      <c r="J29" s="75"/>
      <c r="K29" s="118"/>
      <c r="L29" s="77"/>
      <c r="M29" s="76"/>
      <c r="N29" s="323"/>
      <c r="O29" s="324"/>
      <c r="P29" s="325"/>
      <c r="Q29" s="17"/>
      <c r="R29" s="41">
        <f t="shared" si="6"/>
        <v>0</v>
      </c>
      <c r="S29" s="41">
        <f t="shared" si="0"/>
        <v>0</v>
      </c>
      <c r="T29" s="41">
        <f t="shared" si="8"/>
        <v>0</v>
      </c>
      <c r="U29" s="41">
        <f t="shared" si="2"/>
        <v>0</v>
      </c>
      <c r="V29" s="41">
        <f t="shared" si="3"/>
        <v>0</v>
      </c>
      <c r="W29" s="41">
        <f t="shared" si="9"/>
        <v>0</v>
      </c>
      <c r="X29" s="41">
        <f t="shared" si="5"/>
        <v>0</v>
      </c>
      <c r="Y29" s="129"/>
      <c r="Z29" s="115"/>
    </row>
    <row r="30" spans="1:26">
      <c r="A30" s="42">
        <f t="shared" si="7"/>
        <v>44359</v>
      </c>
      <c r="B30" s="20" t="e">
        <f>VLOOKUP($A30,Datas!$B:$E,4,0)</f>
        <v>#N/A</v>
      </c>
      <c r="C30" s="39" t="str">
        <f t="array" ref="C30">TEXT(INDEX($A$12:$A$41,MATCH(Datas!A20&amp;Datas!C20&amp;Datas!D20,Datas!$A$2:$A$336&amp;Datas!$C$2:$C$336&amp;Datas!$D$2:$D$336,0)),"DDD")</f>
        <v>sex</v>
      </c>
      <c r="D30" s="41"/>
      <c r="E30" s="41"/>
      <c r="F30" s="41"/>
      <c r="G30" s="41"/>
      <c r="H30" s="41"/>
      <c r="I30" s="41"/>
      <c r="J30" s="75"/>
      <c r="K30" s="118"/>
      <c r="L30" s="77"/>
      <c r="M30" s="76"/>
      <c r="N30" s="323"/>
      <c r="O30" s="324"/>
      <c r="P30" s="325"/>
      <c r="Q30" s="17"/>
      <c r="R30" s="41">
        <f t="shared" si="6"/>
        <v>0</v>
      </c>
      <c r="S30" s="41">
        <f t="shared" si="0"/>
        <v>0</v>
      </c>
      <c r="T30" s="41">
        <f t="shared" si="8"/>
        <v>0</v>
      </c>
      <c r="U30" s="41">
        <f t="shared" si="2"/>
        <v>0</v>
      </c>
      <c r="V30" s="41">
        <f t="shared" si="3"/>
        <v>0</v>
      </c>
      <c r="W30" s="41">
        <f t="shared" si="9"/>
        <v>0</v>
      </c>
      <c r="X30" s="41">
        <f t="shared" si="5"/>
        <v>0</v>
      </c>
      <c r="Y30" s="129"/>
      <c r="Z30" s="115"/>
    </row>
    <row r="31" spans="1:26">
      <c r="A31" s="42">
        <f t="shared" si="7"/>
        <v>44360</v>
      </c>
      <c r="B31" s="20" t="e">
        <f>VLOOKUP($A31,Datas!$B:$E,4,0)</f>
        <v>#N/A</v>
      </c>
      <c r="C31" s="39" t="str">
        <f t="array" ref="C31">TEXT(INDEX($A$12:$A$41,MATCH(Datas!A21&amp;Datas!C21&amp;Datas!D21,Datas!$A$2:$A$336&amp;Datas!$C$2:$C$336&amp;Datas!$D$2:$D$336,0)),"DDD")</f>
        <v>sáb</v>
      </c>
      <c r="D31" s="41"/>
      <c r="E31" s="41"/>
      <c r="F31" s="41"/>
      <c r="G31" s="41"/>
      <c r="H31" s="41"/>
      <c r="I31" s="41"/>
      <c r="J31" s="75"/>
      <c r="K31" s="118"/>
      <c r="L31" s="77"/>
      <c r="M31" s="76"/>
      <c r="N31" s="323"/>
      <c r="O31" s="324"/>
      <c r="P31" s="325"/>
      <c r="Q31" s="17"/>
      <c r="R31" s="41">
        <f t="shared" si="6"/>
        <v>0</v>
      </c>
      <c r="S31" s="41">
        <f t="shared" si="0"/>
        <v>0</v>
      </c>
      <c r="T31" s="41">
        <f t="shared" si="8"/>
        <v>0</v>
      </c>
      <c r="U31" s="41">
        <f t="shared" si="2"/>
        <v>0</v>
      </c>
      <c r="V31" s="41">
        <f t="shared" si="3"/>
        <v>0</v>
      </c>
      <c r="W31" s="41">
        <f t="shared" si="9"/>
        <v>0</v>
      </c>
      <c r="X31" s="41">
        <f t="shared" si="5"/>
        <v>0</v>
      </c>
      <c r="Y31" s="129"/>
      <c r="Z31" s="115"/>
    </row>
    <row r="32" spans="1:26">
      <c r="A32" s="42">
        <f t="shared" si="7"/>
        <v>44361</v>
      </c>
      <c r="B32" s="20" t="e">
        <f>VLOOKUP($A32,Datas!$B:$E,4,0)</f>
        <v>#N/A</v>
      </c>
      <c r="C32" s="39" t="str">
        <f t="array" ref="C32">TEXT(INDEX($A$12:$A$41,MATCH(Datas!A22&amp;Datas!C22&amp;Datas!D22,Datas!$A$2:$A$336&amp;Datas!$C$2:$C$336&amp;Datas!$D$2:$D$336,0)),"DDD")</f>
        <v>dom</v>
      </c>
      <c r="D32" s="41"/>
      <c r="E32" s="41"/>
      <c r="F32" s="41"/>
      <c r="G32" s="41"/>
      <c r="H32" s="41"/>
      <c r="I32" s="41"/>
      <c r="J32" s="75"/>
      <c r="K32" s="118"/>
      <c r="L32" s="77"/>
      <c r="M32" s="76"/>
      <c r="N32" s="323"/>
      <c r="O32" s="324"/>
      <c r="P32" s="325"/>
      <c r="Q32" s="17"/>
      <c r="R32" s="41">
        <f t="shared" si="6"/>
        <v>0</v>
      </c>
      <c r="S32" s="41">
        <f t="shared" si="0"/>
        <v>0</v>
      </c>
      <c r="T32" s="41">
        <f t="shared" si="8"/>
        <v>0</v>
      </c>
      <c r="U32" s="41">
        <f t="shared" si="2"/>
        <v>0</v>
      </c>
      <c r="V32" s="41">
        <f t="shared" si="3"/>
        <v>0</v>
      </c>
      <c r="W32" s="41">
        <f t="shared" si="9"/>
        <v>0</v>
      </c>
      <c r="X32" s="41">
        <f t="shared" si="5"/>
        <v>0</v>
      </c>
      <c r="Y32" s="129"/>
      <c r="Z32" s="115"/>
    </row>
    <row r="33" spans="1:27">
      <c r="A33" s="42">
        <f t="shared" si="7"/>
        <v>44362</v>
      </c>
      <c r="B33" s="20" t="e">
        <f>VLOOKUP($A33,Datas!$B:$E,4,0)</f>
        <v>#N/A</v>
      </c>
      <c r="C33" s="39" t="str">
        <f t="array" ref="C33">TEXT(INDEX($A$12:$A$41,MATCH(Datas!A23&amp;Datas!C23&amp;Datas!D23,Datas!$A$2:$A$336&amp;Datas!$C$2:$C$336&amp;Datas!$D$2:$D$336,0)),"DDD")</f>
        <v>seg</v>
      </c>
      <c r="D33" s="41"/>
      <c r="E33" s="41"/>
      <c r="F33" s="41"/>
      <c r="G33" s="41"/>
      <c r="H33" s="41"/>
      <c r="I33" s="41"/>
      <c r="J33" s="75"/>
      <c r="K33" s="118"/>
      <c r="L33" s="77"/>
      <c r="M33" s="76"/>
      <c r="N33" s="323"/>
      <c r="O33" s="324"/>
      <c r="P33" s="325"/>
      <c r="Q33" s="17"/>
      <c r="R33" s="41">
        <f t="shared" si="6"/>
        <v>0</v>
      </c>
      <c r="S33" s="41">
        <f t="shared" si="0"/>
        <v>0</v>
      </c>
      <c r="T33" s="41">
        <f t="shared" si="8"/>
        <v>0</v>
      </c>
      <c r="U33" s="41">
        <f t="shared" si="2"/>
        <v>0</v>
      </c>
      <c r="V33" s="41">
        <f t="shared" si="3"/>
        <v>0</v>
      </c>
      <c r="W33" s="41">
        <f t="shared" si="9"/>
        <v>0</v>
      </c>
      <c r="X33" s="41">
        <f t="shared" si="5"/>
        <v>0</v>
      </c>
      <c r="Y33" s="129"/>
      <c r="Z33" s="115"/>
    </row>
    <row r="34" spans="1:27">
      <c r="A34" s="42">
        <f t="shared" si="7"/>
        <v>44363</v>
      </c>
      <c r="B34" s="20" t="e">
        <f>VLOOKUP($A34,Datas!$B:$E,4,0)</f>
        <v>#N/A</v>
      </c>
      <c r="C34" s="39" t="str">
        <f t="array" ref="C34">TEXT(INDEX($A$12:$A$41,MATCH(Datas!A24&amp;Datas!C24&amp;Datas!D24,Datas!$A$2:$A$336&amp;Datas!$C$2:$C$336&amp;Datas!$D$2:$D$336,0)),"DDD")</f>
        <v>ter</v>
      </c>
      <c r="D34" s="41"/>
      <c r="E34" s="41"/>
      <c r="F34" s="41"/>
      <c r="G34" s="41"/>
      <c r="H34" s="41"/>
      <c r="I34" s="41"/>
      <c r="J34" s="75"/>
      <c r="K34" s="118"/>
      <c r="L34" s="77"/>
      <c r="M34" s="76"/>
      <c r="N34" s="323"/>
      <c r="O34" s="324"/>
      <c r="P34" s="325"/>
      <c r="Q34" s="17"/>
      <c r="R34" s="41">
        <f t="shared" si="6"/>
        <v>0</v>
      </c>
      <c r="S34" s="41">
        <f t="shared" si="0"/>
        <v>0</v>
      </c>
      <c r="T34" s="41">
        <f t="shared" si="8"/>
        <v>0</v>
      </c>
      <c r="U34" s="41">
        <f t="shared" si="2"/>
        <v>0</v>
      </c>
      <c r="V34" s="41">
        <f t="shared" si="3"/>
        <v>0</v>
      </c>
      <c r="W34" s="41">
        <f t="shared" si="9"/>
        <v>0</v>
      </c>
      <c r="X34" s="41">
        <f t="shared" si="5"/>
        <v>0</v>
      </c>
      <c r="Y34" s="129"/>
      <c r="Z34" s="115"/>
    </row>
    <row r="35" spans="1:27">
      <c r="A35" s="42">
        <f t="shared" si="7"/>
        <v>44364</v>
      </c>
      <c r="B35" s="20" t="e">
        <f>VLOOKUP($A35,Datas!$B:$E,4,0)</f>
        <v>#N/A</v>
      </c>
      <c r="C35" s="39" t="str">
        <f t="array" ref="C35">TEXT(INDEX($A$12:$A$41,MATCH(Datas!A25&amp;Datas!C25&amp;Datas!D25,Datas!$A$2:$A$336&amp;Datas!$C$2:$C$336&amp;Datas!$D$2:$D$336,0)),"DDD")</f>
        <v>qua</v>
      </c>
      <c r="D35" s="41"/>
      <c r="E35" s="41"/>
      <c r="F35" s="41"/>
      <c r="G35" s="41"/>
      <c r="H35" s="41"/>
      <c r="I35" s="41"/>
      <c r="J35" s="75"/>
      <c r="K35" s="118"/>
      <c r="L35" s="77"/>
      <c r="M35" s="76"/>
      <c r="N35" s="323"/>
      <c r="O35" s="324"/>
      <c r="P35" s="325"/>
      <c r="Q35" s="17"/>
      <c r="R35" s="41">
        <f t="shared" si="6"/>
        <v>0</v>
      </c>
      <c r="S35" s="41">
        <f t="shared" si="0"/>
        <v>0</v>
      </c>
      <c r="T35" s="41">
        <f t="shared" si="8"/>
        <v>0</v>
      </c>
      <c r="U35" s="41">
        <f t="shared" si="2"/>
        <v>0</v>
      </c>
      <c r="V35" s="41">
        <f t="shared" si="3"/>
        <v>0</v>
      </c>
      <c r="W35" s="41">
        <f t="shared" si="9"/>
        <v>0</v>
      </c>
      <c r="X35" s="41">
        <f t="shared" si="5"/>
        <v>0</v>
      </c>
      <c r="Y35" s="129"/>
      <c r="Z35" s="115"/>
      <c r="AA35" s="112" t="s">
        <v>121</v>
      </c>
    </row>
    <row r="36" spans="1:27">
      <c r="A36" s="42">
        <f t="shared" si="7"/>
        <v>44365</v>
      </c>
      <c r="B36" s="20" t="e">
        <f>VLOOKUP($A36,Datas!$B:$E,4,0)</f>
        <v>#N/A</v>
      </c>
      <c r="C36" s="39" t="str">
        <f t="array" ref="C36">TEXT(INDEX($A$12:$A$41,MATCH(Datas!A26&amp;Datas!C26&amp;Datas!D26,Datas!$A$2:$A$336&amp;Datas!$C$2:$C$336&amp;Datas!$D$2:$D$336,0)),"DDD")</f>
        <v>qui</v>
      </c>
      <c r="D36" s="41"/>
      <c r="E36" s="41"/>
      <c r="F36" s="41"/>
      <c r="G36" s="41"/>
      <c r="H36" s="41"/>
      <c r="I36" s="41"/>
      <c r="J36" s="75"/>
      <c r="K36" s="118"/>
      <c r="L36" s="77"/>
      <c r="M36" s="76"/>
      <c r="N36" s="323"/>
      <c r="O36" s="324"/>
      <c r="P36" s="325"/>
      <c r="Q36" s="17"/>
      <c r="R36" s="41">
        <f t="shared" si="6"/>
        <v>0</v>
      </c>
      <c r="S36" s="41">
        <f t="shared" si="0"/>
        <v>0</v>
      </c>
      <c r="T36" s="41">
        <f t="shared" si="8"/>
        <v>0</v>
      </c>
      <c r="U36" s="41">
        <f t="shared" si="2"/>
        <v>0</v>
      </c>
      <c r="V36" s="41">
        <f t="shared" si="3"/>
        <v>0</v>
      </c>
      <c r="W36" s="41">
        <f t="shared" si="9"/>
        <v>0</v>
      </c>
      <c r="X36" s="41">
        <f t="shared" si="5"/>
        <v>0</v>
      </c>
      <c r="Y36" s="129"/>
      <c r="Z36" s="115"/>
    </row>
    <row r="37" spans="1:27">
      <c r="A37" s="42">
        <f t="shared" si="7"/>
        <v>44366</v>
      </c>
      <c r="B37" s="20" t="e">
        <f>VLOOKUP($A37,Datas!$B:$E,4,0)</f>
        <v>#N/A</v>
      </c>
      <c r="C37" s="39" t="str">
        <f t="array" ref="C37">TEXT(INDEX($A$12:$A$41,MATCH(Datas!A27&amp;Datas!C27&amp;Datas!D27,Datas!$A$2:$A$336&amp;Datas!$C$2:$C$336&amp;Datas!$D$2:$D$336,0)),"DDD")</f>
        <v>sex</v>
      </c>
      <c r="D37" s="41"/>
      <c r="E37" s="41"/>
      <c r="F37" s="41"/>
      <c r="G37" s="41"/>
      <c r="H37" s="41"/>
      <c r="I37" s="41"/>
      <c r="J37" s="75"/>
      <c r="K37" s="118"/>
      <c r="L37" s="77"/>
      <c r="M37" s="76"/>
      <c r="N37" s="323"/>
      <c r="O37" s="324"/>
      <c r="P37" s="325"/>
      <c r="Q37" s="17"/>
      <c r="R37" s="41">
        <f t="shared" si="6"/>
        <v>0</v>
      </c>
      <c r="S37" s="41">
        <f t="shared" si="0"/>
        <v>0</v>
      </c>
      <c r="T37" s="41">
        <f t="shared" si="8"/>
        <v>0</v>
      </c>
      <c r="U37" s="41">
        <f t="shared" si="2"/>
        <v>0</v>
      </c>
      <c r="V37" s="41">
        <f t="shared" si="3"/>
        <v>0</v>
      </c>
      <c r="W37" s="41">
        <f t="shared" si="9"/>
        <v>0</v>
      </c>
      <c r="X37" s="41">
        <f t="shared" si="5"/>
        <v>0</v>
      </c>
      <c r="Y37" s="129"/>
      <c r="Z37" s="115"/>
    </row>
    <row r="38" spans="1:27">
      <c r="A38" s="42">
        <f t="shared" si="7"/>
        <v>44367</v>
      </c>
      <c r="B38" s="20" t="e">
        <f>VLOOKUP($A38,Datas!$B:$E,4,0)</f>
        <v>#N/A</v>
      </c>
      <c r="C38" s="39" t="str">
        <f t="array" ref="C38">TEXT(INDEX($A$12:$A$41,MATCH(Datas!A28&amp;Datas!C28&amp;Datas!D28,Datas!$A$2:$A$336&amp;Datas!$C$2:$C$336&amp;Datas!$D$2:$D$336,0)),"DDD")</f>
        <v>sáb</v>
      </c>
      <c r="D38" s="41"/>
      <c r="E38" s="41"/>
      <c r="F38" s="41"/>
      <c r="G38" s="41"/>
      <c r="H38" s="41"/>
      <c r="I38" s="41"/>
      <c r="J38" s="75"/>
      <c r="K38" s="118"/>
      <c r="L38" s="77"/>
      <c r="M38" s="76"/>
      <c r="N38" s="323"/>
      <c r="O38" s="324"/>
      <c r="P38" s="325"/>
      <c r="Q38" s="17"/>
      <c r="R38" s="41">
        <f t="shared" si="6"/>
        <v>0</v>
      </c>
      <c r="S38" s="41">
        <f t="shared" si="0"/>
        <v>0</v>
      </c>
      <c r="T38" s="41">
        <f t="shared" si="8"/>
        <v>0</v>
      </c>
      <c r="U38" s="41">
        <f t="shared" si="2"/>
        <v>0</v>
      </c>
      <c r="V38" s="41">
        <f t="shared" si="3"/>
        <v>0</v>
      </c>
      <c r="W38" s="41">
        <f t="shared" si="9"/>
        <v>0</v>
      </c>
      <c r="X38" s="41">
        <f t="shared" si="5"/>
        <v>0</v>
      </c>
      <c r="Y38" s="129"/>
      <c r="Z38" s="114"/>
    </row>
    <row r="39" spans="1:27">
      <c r="A39" s="42">
        <f t="shared" si="7"/>
        <v>44368</v>
      </c>
      <c r="B39" s="20" t="e">
        <f>VLOOKUP($A39,Datas!$B:$E,4,0)</f>
        <v>#N/A</v>
      </c>
      <c r="C39" s="39" t="str">
        <f t="array" ref="C39">TEXT(INDEX($A$12:$A$41,MATCH(Datas!A29&amp;Datas!C29&amp;Datas!D29,Datas!$A$2:$A$336&amp;Datas!$C$2:$C$336&amp;Datas!$D$2:$D$336,0)),"DDD")</f>
        <v>dom</v>
      </c>
      <c r="D39" s="41"/>
      <c r="E39" s="41"/>
      <c r="F39" s="41"/>
      <c r="G39" s="41"/>
      <c r="H39" s="41"/>
      <c r="I39" s="41"/>
      <c r="J39" s="75"/>
      <c r="K39" s="118"/>
      <c r="L39" s="77"/>
      <c r="M39" s="76"/>
      <c r="N39" s="323"/>
      <c r="O39" s="324"/>
      <c r="P39" s="325"/>
      <c r="Q39" s="17"/>
      <c r="R39" s="41">
        <f t="shared" si="6"/>
        <v>0</v>
      </c>
      <c r="S39" s="41">
        <f t="shared" si="0"/>
        <v>0</v>
      </c>
      <c r="T39" s="41">
        <f t="shared" si="8"/>
        <v>0</v>
      </c>
      <c r="U39" s="41">
        <f t="shared" si="2"/>
        <v>0</v>
      </c>
      <c r="V39" s="41">
        <f t="shared" si="3"/>
        <v>0</v>
      </c>
      <c r="W39" s="41">
        <f t="shared" si="9"/>
        <v>0</v>
      </c>
      <c r="X39" s="41">
        <f t="shared" si="5"/>
        <v>0</v>
      </c>
      <c r="Y39" s="129"/>
      <c r="Z39" s="115"/>
    </row>
    <row r="40" spans="1:27">
      <c r="A40" s="42">
        <f t="shared" si="7"/>
        <v>44369</v>
      </c>
      <c r="B40" s="20" t="e">
        <f>VLOOKUP($A40,Datas!$B:$E,4,0)</f>
        <v>#N/A</v>
      </c>
      <c r="C40" s="39" t="str">
        <f t="array" ref="C40">TEXT(INDEX($A$12:$A$41,MATCH(Datas!A30&amp;Datas!C30&amp;Datas!D30,Datas!$A$2:$A$336&amp;Datas!$C$2:$C$336&amp;Datas!$D$2:$D$336,0)),"DDD")</f>
        <v>seg</v>
      </c>
      <c r="D40" s="41"/>
      <c r="E40" s="41"/>
      <c r="F40" s="41"/>
      <c r="G40" s="41"/>
      <c r="H40" s="41"/>
      <c r="I40" s="41"/>
      <c r="J40" s="75"/>
      <c r="K40" s="118"/>
      <c r="L40" s="77"/>
      <c r="M40" s="76"/>
      <c r="N40" s="323"/>
      <c r="O40" s="324"/>
      <c r="P40" s="325"/>
      <c r="Q40" s="17"/>
      <c r="R40" s="41">
        <f t="shared" si="6"/>
        <v>0</v>
      </c>
      <c r="S40" s="41">
        <f t="shared" si="0"/>
        <v>0</v>
      </c>
      <c r="T40" s="41">
        <f t="shared" si="8"/>
        <v>0</v>
      </c>
      <c r="U40" s="41">
        <f t="shared" si="2"/>
        <v>0</v>
      </c>
      <c r="V40" s="41">
        <f t="shared" si="3"/>
        <v>0</v>
      </c>
      <c r="W40" s="41">
        <f t="shared" si="9"/>
        <v>0</v>
      </c>
      <c r="X40" s="41">
        <f t="shared" si="5"/>
        <v>0</v>
      </c>
      <c r="Y40" s="129"/>
      <c r="Z40" s="115"/>
    </row>
    <row r="41" spans="1:27">
      <c r="A41" s="42">
        <f t="shared" si="7"/>
        <v>44370</v>
      </c>
      <c r="B41" s="20" t="e">
        <f>VLOOKUP($A41,Datas!$B:$E,4,0)</f>
        <v>#N/A</v>
      </c>
      <c r="C41" s="39" t="str">
        <f t="array" ref="C41">TEXT(INDEX($A$12:$A$41,MATCH(Datas!A31&amp;Datas!C31&amp;Datas!D31,Datas!$A$2:$A$336&amp;Datas!$C$2:$C$336&amp;Datas!$D$2:$D$336,0)),"DDD")</f>
        <v>ter</v>
      </c>
      <c r="D41" s="41"/>
      <c r="E41" s="41"/>
      <c r="F41" s="41"/>
      <c r="G41" s="41"/>
      <c r="H41" s="41"/>
      <c r="I41" s="41"/>
      <c r="J41" s="75"/>
      <c r="K41" s="118"/>
      <c r="L41" s="77"/>
      <c r="M41" s="76"/>
      <c r="N41" s="323"/>
      <c r="O41" s="324"/>
      <c r="P41" s="325"/>
      <c r="Q41" s="17"/>
      <c r="R41" s="41">
        <f t="shared" si="6"/>
        <v>0</v>
      </c>
      <c r="S41" s="41">
        <f t="shared" si="0"/>
        <v>0</v>
      </c>
      <c r="T41" s="41">
        <f t="shared" si="8"/>
        <v>0</v>
      </c>
      <c r="U41" s="41">
        <f t="shared" si="2"/>
        <v>0</v>
      </c>
      <c r="V41" s="41">
        <f t="shared" si="3"/>
        <v>0</v>
      </c>
      <c r="W41" s="41">
        <f t="shared" si="9"/>
        <v>0</v>
      </c>
      <c r="X41" s="41">
        <f t="shared" si="5"/>
        <v>0</v>
      </c>
      <c r="Y41" s="129"/>
      <c r="Z41" s="115"/>
    </row>
    <row r="42" spans="1:27" ht="17.25">
      <c r="A42" s="223" t="s">
        <v>51</v>
      </c>
      <c r="B42" s="224"/>
      <c r="C42" s="224"/>
      <c r="D42" s="224"/>
      <c r="E42" s="224"/>
      <c r="F42" s="224"/>
      <c r="G42" s="224"/>
      <c r="H42" s="224"/>
      <c r="I42" s="224"/>
      <c r="J42" s="84">
        <f>SUM(J12:J41)</f>
        <v>0</v>
      </c>
      <c r="K42" s="84">
        <f>SUM(K12:K41)</f>
        <v>0</v>
      </c>
      <c r="L42" s="86">
        <f>SUM(L12:L41)</f>
        <v>0</v>
      </c>
      <c r="M42" s="87">
        <f>SUM(M12:M41)</f>
        <v>0</v>
      </c>
      <c r="N42" s="226"/>
      <c r="O42" s="227"/>
      <c r="P42" s="228"/>
      <c r="Q42" s="17"/>
      <c r="R42" s="17"/>
      <c r="S42" s="17"/>
      <c r="T42" s="17"/>
      <c r="U42" s="17"/>
      <c r="V42" s="17"/>
      <c r="W42" s="17"/>
      <c r="X42" s="17"/>
      <c r="Y42" s="17"/>
      <c r="Z42" s="117"/>
    </row>
    <row r="43" spans="1:27">
      <c r="A43" s="33"/>
      <c r="B43" s="16"/>
      <c r="C43" s="17"/>
      <c r="D43" s="17"/>
      <c r="E43" s="17"/>
      <c r="F43" s="17"/>
      <c r="G43" s="17"/>
      <c r="H43" s="17"/>
      <c r="I43" s="17"/>
      <c r="J43" s="119">
        <v>9.1666666666666696</v>
      </c>
      <c r="K43" s="119"/>
      <c r="L43" s="17"/>
      <c r="M43" s="63"/>
      <c r="N43" s="17"/>
      <c r="O43" s="89"/>
      <c r="P43" s="17"/>
      <c r="Q43" s="253"/>
      <c r="R43" s="254"/>
      <c r="S43" s="254"/>
      <c r="T43" s="17"/>
      <c r="U43" s="17"/>
      <c r="V43" s="17"/>
      <c r="W43" s="17"/>
      <c r="X43" s="17"/>
      <c r="Y43" s="17"/>
      <c r="Z43" s="17"/>
      <c r="AA43" s="17"/>
    </row>
    <row r="44" spans="1:27">
      <c r="A44" s="255" t="s">
        <v>52</v>
      </c>
      <c r="B44" s="256"/>
      <c r="C44" s="257"/>
      <c r="D44" s="262"/>
      <c r="E44" s="265" t="s">
        <v>53</v>
      </c>
      <c r="F44" s="265"/>
      <c r="G44" s="265"/>
      <c r="H44" s="265"/>
      <c r="I44" s="265"/>
      <c r="J44" s="265"/>
      <c r="K44" s="265"/>
      <c r="L44" s="265"/>
      <c r="M44" s="255" t="s">
        <v>54</v>
      </c>
      <c r="N44" s="265"/>
      <c r="O44" s="265"/>
      <c r="P44" s="267"/>
      <c r="Q44" s="253"/>
      <c r="R44" s="254"/>
      <c r="S44" s="254"/>
      <c r="T44" s="17"/>
      <c r="U44" s="17"/>
      <c r="V44" s="17"/>
      <c r="W44" s="17"/>
      <c r="X44" s="17"/>
      <c r="Y44" s="17"/>
      <c r="Z44" s="17"/>
      <c r="AA44" s="17"/>
    </row>
    <row r="45" spans="1:27">
      <c r="A45" s="258"/>
      <c r="B45" s="259"/>
      <c r="C45" s="260"/>
      <c r="D45" s="264"/>
      <c r="E45" s="266"/>
      <c r="F45" s="266"/>
      <c r="G45" s="266"/>
      <c r="H45" s="266"/>
      <c r="I45" s="266"/>
      <c r="J45" s="266"/>
      <c r="K45" s="266"/>
      <c r="L45" s="266"/>
      <c r="M45" s="268"/>
      <c r="N45" s="269"/>
      <c r="O45" s="269"/>
      <c r="P45" s="270"/>
      <c r="Q45" s="253"/>
      <c r="R45" s="254"/>
      <c r="S45" s="254"/>
      <c r="T45" s="17"/>
      <c r="U45" s="17"/>
      <c r="V45" s="17"/>
      <c r="W45" s="17"/>
      <c r="X45" s="17"/>
      <c r="Y45" s="17"/>
      <c r="Z45" s="17"/>
      <c r="AA45" s="17"/>
    </row>
    <row r="46" spans="1:27">
      <c r="A46" s="49"/>
      <c r="B46" s="50"/>
      <c r="C46" s="51"/>
      <c r="D46" s="51"/>
      <c r="E46" s="47"/>
      <c r="F46" s="45"/>
      <c r="G46" s="45"/>
      <c r="H46" s="45"/>
      <c r="I46" s="45"/>
      <c r="J46" s="45"/>
      <c r="K46" s="45"/>
      <c r="L46" s="52"/>
      <c r="M46" s="209"/>
      <c r="N46" s="253"/>
      <c r="O46" s="253"/>
      <c r="P46" s="271"/>
      <c r="Q46" s="209"/>
      <c r="R46" s="253"/>
      <c r="S46" s="253"/>
      <c r="T46" s="17"/>
      <c r="U46" s="17"/>
      <c r="V46" s="17"/>
      <c r="W46" s="17"/>
      <c r="X46" s="17"/>
      <c r="Y46" s="17"/>
      <c r="Z46" s="17"/>
      <c r="AA46" s="17"/>
    </row>
    <row r="47" spans="1:27">
      <c r="A47" s="255" t="s">
        <v>55</v>
      </c>
      <c r="B47" s="265"/>
      <c r="C47" s="267"/>
      <c r="D47" s="277"/>
      <c r="E47" s="207" t="s">
        <v>56</v>
      </c>
      <c r="F47" s="279"/>
      <c r="G47" s="90"/>
      <c r="H47" s="280">
        <f>COUNTIF($D$12:$D$41,"SUSPENSÃO")</f>
        <v>0</v>
      </c>
      <c r="I47" s="281"/>
      <c r="J47" s="208"/>
      <c r="K47" s="208"/>
      <c r="L47" s="284">
        <f>COUNTIF($D$12:$D$41,"ADVERTENCIA")</f>
        <v>0</v>
      </c>
      <c r="M47" s="272"/>
      <c r="N47" s="273"/>
      <c r="O47" s="273"/>
      <c r="P47" s="274"/>
      <c r="Q47" s="209"/>
      <c r="R47" s="253"/>
      <c r="S47" s="253"/>
      <c r="T47" s="17"/>
      <c r="U47" s="17"/>
      <c r="V47" s="17"/>
      <c r="W47" s="17"/>
      <c r="X47" s="17"/>
      <c r="Y47" s="17"/>
      <c r="Z47" s="17"/>
      <c r="AA47" s="17"/>
    </row>
    <row r="48" spans="1:27">
      <c r="A48" s="275"/>
      <c r="B48" s="266"/>
      <c r="C48" s="276"/>
      <c r="D48" s="278"/>
      <c r="E48" s="272"/>
      <c r="F48" s="274"/>
      <c r="G48" s="90"/>
      <c r="H48" s="282"/>
      <c r="I48" s="283"/>
      <c r="J48" s="273"/>
      <c r="K48" s="273"/>
      <c r="L48" s="285"/>
      <c r="M48" s="292" t="s">
        <v>58</v>
      </c>
      <c r="N48" s="253"/>
      <c r="O48" s="253"/>
      <c r="P48" s="293"/>
      <c r="Q48" s="253" t="s">
        <v>59</v>
      </c>
      <c r="R48" s="254"/>
      <c r="S48" s="254"/>
      <c r="T48" s="17"/>
      <c r="U48" s="17"/>
      <c r="V48" s="17"/>
      <c r="W48" s="17"/>
      <c r="X48" s="17"/>
      <c r="Y48" s="17"/>
      <c r="Z48" s="17"/>
      <c r="AA48" s="17"/>
    </row>
    <row r="49" spans="1:27">
      <c r="A49" s="33"/>
      <c r="B49" s="16"/>
      <c r="C49" s="17"/>
      <c r="D49" s="17"/>
      <c r="E49" s="17"/>
      <c r="F49" s="17"/>
      <c r="G49" s="17"/>
      <c r="H49" s="17"/>
      <c r="I49" s="20" t="s">
        <v>60</v>
      </c>
      <c r="J49" s="16" t="s">
        <v>61</v>
      </c>
      <c r="K49" s="16"/>
      <c r="L49" s="17"/>
      <c r="M49" s="268"/>
      <c r="N49" s="269"/>
      <c r="O49" s="269"/>
      <c r="P49" s="270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ht="17.25">
      <c r="A50" s="53" t="s">
        <v>62</v>
      </c>
      <c r="B50" s="54"/>
      <c r="C50" s="45"/>
      <c r="D50" s="45"/>
      <c r="E50" s="45"/>
      <c r="F50" s="46"/>
      <c r="G50" s="46"/>
      <c r="H50" s="286">
        <f>(J42-J43)*40%</f>
        <v>-3.6666666666666701</v>
      </c>
      <c r="I50" s="287"/>
      <c r="J50" s="120"/>
      <c r="K50" s="120"/>
      <c r="L50" s="92" t="e">
        <f>#REF!*#REF!</f>
        <v>#REF!</v>
      </c>
      <c r="M50" s="209"/>
      <c r="N50" s="253"/>
      <c r="O50" s="253"/>
      <c r="P50" s="271"/>
      <c r="Q50" s="17"/>
      <c r="R50" s="17"/>
      <c r="S50" s="17"/>
      <c r="T50" s="17"/>
      <c r="U50" s="17"/>
      <c r="V50" s="17"/>
      <c r="W50" s="17"/>
      <c r="X50" s="17"/>
      <c r="Y50" s="17"/>
    </row>
    <row r="51" spans="1:27" ht="17.25">
      <c r="A51" s="56" t="s">
        <v>63</v>
      </c>
      <c r="B51" s="16"/>
      <c r="C51" s="17"/>
      <c r="D51" s="17"/>
      <c r="E51" s="17"/>
      <c r="F51" s="57"/>
      <c r="G51" s="57"/>
      <c r="H51" s="290" t="e">
        <f>COUNTIFS($B$12:$B$41,$I$49,#REF!,"38,00")</f>
        <v>#REF!</v>
      </c>
      <c r="I51" s="291"/>
      <c r="J51" s="121"/>
      <c r="K51" s="122"/>
      <c r="L51" s="92" t="e">
        <f>SUM(#REF!)</f>
        <v>#REF!</v>
      </c>
      <c r="M51" s="272"/>
      <c r="N51" s="273"/>
      <c r="O51" s="273"/>
      <c r="P51" s="274"/>
      <c r="Q51" s="17"/>
      <c r="R51" s="17"/>
      <c r="S51" s="17"/>
      <c r="T51" s="17"/>
      <c r="U51" s="17"/>
      <c r="V51" s="17"/>
      <c r="W51" s="17"/>
      <c r="X51" s="17"/>
      <c r="Y51" s="17"/>
    </row>
    <row r="52" spans="1:27" ht="17.25">
      <c r="A52" s="56" t="s">
        <v>64</v>
      </c>
      <c r="B52" s="16"/>
      <c r="C52" s="17"/>
      <c r="D52" s="17"/>
      <c r="E52" s="17"/>
      <c r="F52" s="57"/>
      <c r="G52" s="57"/>
      <c r="H52" s="294">
        <f>COUNTIFS(M12:M41,"&lt;&gt;"&amp;"",M12:M41,"&lt;&gt;"&amp;0)</f>
        <v>0</v>
      </c>
      <c r="I52" s="295"/>
      <c r="J52" s="27"/>
      <c r="K52" s="27"/>
      <c r="L52" s="93">
        <f>M42</f>
        <v>0</v>
      </c>
      <c r="M52" s="292" t="s">
        <v>65</v>
      </c>
      <c r="N52" s="253"/>
      <c r="O52" s="253"/>
      <c r="P52" s="293"/>
      <c r="Q52" s="17"/>
      <c r="R52" s="17"/>
      <c r="S52" s="17"/>
      <c r="T52" s="17"/>
      <c r="U52" s="17"/>
      <c r="V52" s="17"/>
      <c r="W52" s="17"/>
      <c r="X52" s="17"/>
      <c r="Y52" s="17"/>
    </row>
    <row r="53" spans="1:27" ht="17.25">
      <c r="A53" s="60" t="s">
        <v>66</v>
      </c>
      <c r="B53" s="61"/>
      <c r="C53" s="23"/>
      <c r="D53" s="23"/>
      <c r="E53" s="23"/>
      <c r="F53" s="48"/>
      <c r="G53" s="48"/>
      <c r="H53" s="296">
        <f>L42</f>
        <v>0</v>
      </c>
      <c r="I53" s="297"/>
      <c r="J53" s="123"/>
      <c r="K53" s="123"/>
      <c r="L53" s="124">
        <f>L42</f>
        <v>0</v>
      </c>
      <c r="M53" s="275"/>
      <c r="N53" s="266"/>
      <c r="O53" s="266"/>
      <c r="P53" s="276"/>
      <c r="Q53" s="17"/>
      <c r="R53" s="17"/>
      <c r="S53" s="17"/>
      <c r="T53" s="17"/>
      <c r="U53" s="17"/>
      <c r="V53" s="17"/>
      <c r="W53" s="17"/>
      <c r="X53" s="17"/>
      <c r="Y53" s="17"/>
    </row>
    <row r="54" spans="1:27">
      <c r="A54" s="19"/>
      <c r="B54" s="16"/>
      <c r="C54" s="17"/>
      <c r="D54" s="17"/>
      <c r="E54" s="17"/>
      <c r="F54" s="17"/>
      <c r="G54" s="17"/>
      <c r="H54" s="17"/>
      <c r="I54" s="63"/>
      <c r="J54" s="96"/>
      <c r="K54" s="96"/>
      <c r="L54" s="97"/>
      <c r="M54" s="2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spans="1:27">
      <c r="A55" s="300" t="s">
        <v>67</v>
      </c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2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>
      <c r="A56" s="303"/>
      <c r="B56" s="304"/>
      <c r="C56" s="304"/>
      <c r="D56" s="304"/>
      <c r="E56" s="304"/>
      <c r="F56" s="304"/>
      <c r="G56" s="304"/>
      <c r="H56" s="304"/>
      <c r="I56" s="304"/>
      <c r="J56" s="304"/>
      <c r="K56" s="304"/>
      <c r="L56" s="304"/>
      <c r="M56" s="304"/>
      <c r="N56" s="304"/>
      <c r="O56" s="304"/>
      <c r="P56" s="305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>
      <c r="A57" s="303"/>
      <c r="B57" s="304"/>
      <c r="C57" s="304"/>
      <c r="D57" s="304"/>
      <c r="E57" s="304"/>
      <c r="F57" s="304"/>
      <c r="G57" s="304"/>
      <c r="H57" s="304"/>
      <c r="I57" s="304"/>
      <c r="J57" s="304"/>
      <c r="K57" s="304"/>
      <c r="L57" s="304"/>
      <c r="M57" s="304"/>
      <c r="N57" s="304"/>
      <c r="O57" s="304"/>
      <c r="P57" s="305"/>
      <c r="Q57" s="64"/>
      <c r="R57" s="104"/>
      <c r="S57" s="105"/>
      <c r="T57" s="17"/>
      <c r="U57" s="17"/>
      <c r="V57" s="17"/>
      <c r="W57" s="17"/>
      <c r="X57" s="17"/>
      <c r="Y57" s="17"/>
      <c r="Z57" s="17"/>
      <c r="AA57" s="17"/>
    </row>
    <row r="58" spans="1:27">
      <c r="A58" s="306"/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8"/>
      <c r="Q58" s="64"/>
      <c r="R58" s="64"/>
      <c r="S58" s="106"/>
      <c r="T58" s="17"/>
      <c r="U58" s="17"/>
      <c r="V58" s="17"/>
      <c r="W58" s="17"/>
      <c r="X58" s="17"/>
      <c r="Y58" s="17"/>
      <c r="Z58" s="17"/>
      <c r="AA58" s="17"/>
    </row>
    <row r="59" spans="1:27">
      <c r="A59" s="64"/>
      <c r="B59" s="65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106"/>
      <c r="T59" s="17"/>
      <c r="U59" s="17"/>
      <c r="V59" s="17"/>
      <c r="W59" s="17"/>
      <c r="X59" s="17"/>
      <c r="Y59" s="17"/>
      <c r="Z59" s="17"/>
      <c r="AA59" s="17"/>
    </row>
    <row r="60" spans="1:27">
      <c r="A60" s="17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>
      <c r="A61" s="17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>
      <c r="A62" s="17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>
      <c r="A63" s="17"/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>
      <c r="A64" s="17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>
      <c r="A65" s="17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>
      <c r="A66" s="17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>
      <c r="A67" s="17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>
      <c r="A68" s="17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>
      <c r="A69" s="17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>
      <c r="A70" s="17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>
      <c r="A71" s="17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>
      <c r="A72" s="17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>
      <c r="A73" s="17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1:27">
      <c r="A74" s="17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1:27">
      <c r="A75" s="17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1:27">
      <c r="A76" s="17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1:27">
      <c r="A77" s="17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1:27">
      <c r="A78" s="17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1:27">
      <c r="A79" s="17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1:27">
      <c r="A80" s="17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>
      <c r="A81" s="17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>
      <c r="A82" s="17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>
      <c r="A83" s="17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>
      <c r="A84" s="17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>
      <c r="A85" s="17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1:27">
      <c r="A86" s="17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>
      <c r="A87" s="17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1:27">
      <c r="A88" s="17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1:27">
      <c r="A89" s="17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1:27">
      <c r="A90" s="17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>
      <c r="A91" s="17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>
      <c r="A92" s="17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>
      <c r="A93" s="17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1:27">
      <c r="A94" s="17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1:27">
      <c r="A95" s="17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>
      <c r="A96" s="17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>
      <c r="A97" s="17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>
      <c r="A98" s="17"/>
      <c r="B98" s="16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>
      <c r="A99" s="17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</sheetData>
  <mergeCells count="73">
    <mergeCell ref="D1:E1"/>
    <mergeCell ref="D3:E3"/>
    <mergeCell ref="D4:E4"/>
    <mergeCell ref="E10:F10"/>
    <mergeCell ref="G10:H10"/>
    <mergeCell ref="N12:P12"/>
    <mergeCell ref="N13:P13"/>
    <mergeCell ref="N14:P14"/>
    <mergeCell ref="N15:P15"/>
    <mergeCell ref="N16:P16"/>
    <mergeCell ref="N18:P18"/>
    <mergeCell ref="N19:P19"/>
    <mergeCell ref="N20:P20"/>
    <mergeCell ref="N21:P21"/>
    <mergeCell ref="N23:P23"/>
    <mergeCell ref="N24:P24"/>
    <mergeCell ref="N25:P25"/>
    <mergeCell ref="N26:P26"/>
    <mergeCell ref="N27:P27"/>
    <mergeCell ref="N28:P28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38:P38"/>
    <mergeCell ref="Q43:S43"/>
    <mergeCell ref="M44:P44"/>
    <mergeCell ref="Q44:S44"/>
    <mergeCell ref="Q45:S45"/>
    <mergeCell ref="M48:P48"/>
    <mergeCell ref="Q48:S48"/>
    <mergeCell ref="Q46:S47"/>
    <mergeCell ref="A55:P58"/>
    <mergeCell ref="M49:P51"/>
    <mergeCell ref="M52:P53"/>
    <mergeCell ref="H53:I53"/>
    <mergeCell ref="A10:A11"/>
    <mergeCell ref="C10:C11"/>
    <mergeCell ref="D10:D11"/>
    <mergeCell ref="D44:D45"/>
    <mergeCell ref="D47:D48"/>
    <mergeCell ref="A47:C48"/>
    <mergeCell ref="A44:C45"/>
    <mergeCell ref="N39:P39"/>
    <mergeCell ref="N40:P40"/>
    <mergeCell ref="N41:P41"/>
    <mergeCell ref="A42:I42"/>
    <mergeCell ref="N42:P42"/>
    <mergeCell ref="E44:L45"/>
    <mergeCell ref="M45:P47"/>
    <mergeCell ref="H50:I50"/>
    <mergeCell ref="H51:I51"/>
    <mergeCell ref="H52:I52"/>
    <mergeCell ref="E47:F48"/>
    <mergeCell ref="H47:I48"/>
    <mergeCell ref="J47:K48"/>
    <mergeCell ref="L47:L48"/>
    <mergeCell ref="J5:P6"/>
    <mergeCell ref="D5:E6"/>
    <mergeCell ref="F5:I6"/>
    <mergeCell ref="Z7:Z8"/>
    <mergeCell ref="Z10:Z11"/>
    <mergeCell ref="N10:P11"/>
    <mergeCell ref="J10:J11"/>
    <mergeCell ref="K10:K11"/>
    <mergeCell ref="L10:L11"/>
    <mergeCell ref="M10:M11"/>
    <mergeCell ref="I10:I11"/>
  </mergeCells>
  <printOptions horizontalCentered="1" verticalCentered="1"/>
  <pageMargins left="0.196850393700787" right="0.196850393700787" top="0.196850393700787" bottom="0.196850393700787" header="0" footer="0"/>
  <pageSetup paperSize="9" scale="35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D99"/>
  <sheetViews>
    <sheetView showGridLines="0" topLeftCell="A25" zoomScale="80" zoomScaleNormal="80" workbookViewId="0">
      <selection activeCell="N10" sqref="N10:P11"/>
    </sheetView>
  </sheetViews>
  <sheetFormatPr defaultColWidth="14.42578125" defaultRowHeight="15"/>
  <cols>
    <col min="1" max="1" width="10.7109375" style="8" customWidth="1"/>
    <col min="2" max="2" width="0.7109375" style="9" customWidth="1"/>
    <col min="3" max="11" width="13.28515625" style="8" customWidth="1"/>
    <col min="12" max="12" width="14.42578125" style="8" customWidth="1"/>
    <col min="13" max="13" width="13.28515625" style="8" customWidth="1"/>
    <col min="14" max="16" width="11.7109375" style="8" customWidth="1"/>
    <col min="17" max="17" width="0.7109375" style="8" customWidth="1"/>
    <col min="18" max="18" width="16.140625" style="8" hidden="1" customWidth="1"/>
    <col min="19" max="19" width="23" style="8" hidden="1" customWidth="1"/>
    <col min="20" max="20" width="23.140625" style="8" hidden="1" customWidth="1"/>
    <col min="21" max="21" width="19.42578125" style="8" hidden="1" customWidth="1"/>
    <col min="22" max="22" width="23" style="8" hidden="1" customWidth="1"/>
    <col min="23" max="23" width="32" style="8" hidden="1" customWidth="1"/>
    <col min="24" max="24" width="19.42578125" style="8" hidden="1" customWidth="1"/>
    <col min="25" max="25" width="35.42578125" style="8" hidden="1" customWidth="1"/>
    <col min="26" max="26" width="40.42578125" style="8" customWidth="1"/>
    <col min="27" max="27" width="1.7109375" style="8" customWidth="1"/>
    <col min="28" max="16384" width="14.42578125" style="8"/>
  </cols>
  <sheetData>
    <row r="1" spans="1:30">
      <c r="A1" s="10"/>
      <c r="B1" s="11"/>
      <c r="C1" s="12"/>
      <c r="D1" s="207" t="s">
        <v>0</v>
      </c>
      <c r="E1" s="208"/>
      <c r="F1" s="12"/>
      <c r="G1" s="12"/>
      <c r="H1" s="12"/>
      <c r="I1" s="14"/>
      <c r="J1" s="12"/>
      <c r="K1" s="12"/>
      <c r="L1" s="12"/>
      <c r="M1" s="12"/>
      <c r="N1" s="12"/>
      <c r="O1" s="12"/>
      <c r="P1" s="66"/>
      <c r="Q1" s="67"/>
      <c r="R1" s="67"/>
      <c r="S1" s="67"/>
      <c r="T1" s="17"/>
      <c r="U1" s="17"/>
      <c r="V1" s="17"/>
      <c r="W1" s="17"/>
      <c r="X1" s="17"/>
      <c r="Y1" s="17"/>
      <c r="Z1" s="107" t="s">
        <v>1</v>
      </c>
      <c r="AA1" s="118">
        <v>0.75</v>
      </c>
      <c r="AB1" s="125">
        <v>6.9444444444444404E-4</v>
      </c>
      <c r="AC1" s="8" t="s">
        <v>2</v>
      </c>
      <c r="AD1" s="125">
        <v>0.75</v>
      </c>
    </row>
    <row r="2" spans="1:30">
      <c r="A2" s="15"/>
      <c r="B2" s="16"/>
      <c r="C2" s="17"/>
      <c r="D2" s="15"/>
      <c r="E2" s="17"/>
      <c r="F2" s="17"/>
      <c r="G2" s="17"/>
      <c r="H2" s="17"/>
      <c r="I2" s="19"/>
      <c r="J2" s="17"/>
      <c r="K2" s="17"/>
      <c r="L2" s="17"/>
      <c r="M2" s="17"/>
      <c r="N2" s="17"/>
      <c r="O2" s="17"/>
      <c r="P2" s="21"/>
      <c r="Q2" s="67"/>
      <c r="R2" s="67"/>
      <c r="S2" s="67"/>
      <c r="T2" s="17"/>
      <c r="U2" s="17"/>
      <c r="V2" s="17"/>
      <c r="W2" s="17"/>
      <c r="X2" s="17"/>
      <c r="Y2" s="17"/>
      <c r="Z2" s="108"/>
      <c r="AA2" s="126">
        <v>38</v>
      </c>
      <c r="AC2" s="8" t="s">
        <v>3</v>
      </c>
      <c r="AD2" s="125">
        <v>0.749305555555556</v>
      </c>
    </row>
    <row r="3" spans="1:30">
      <c r="A3" s="15"/>
      <c r="B3" s="20"/>
      <c r="C3" s="17"/>
      <c r="D3" s="209" t="s">
        <v>4</v>
      </c>
      <c r="E3" s="210"/>
      <c r="F3" s="17"/>
      <c r="G3" s="17"/>
      <c r="H3" s="17"/>
      <c r="I3" s="17"/>
      <c r="J3" s="17"/>
      <c r="K3" s="17"/>
      <c r="L3" s="17" t="s">
        <v>6</v>
      </c>
      <c r="M3" s="68"/>
      <c r="N3" s="17"/>
      <c r="O3" s="68"/>
      <c r="P3" s="21"/>
      <c r="Q3" s="67"/>
      <c r="R3" s="67"/>
      <c r="S3" s="67"/>
      <c r="T3" s="17"/>
      <c r="U3" s="17"/>
      <c r="V3" s="17"/>
      <c r="W3" s="17"/>
      <c r="X3" s="17"/>
      <c r="Y3" s="17"/>
      <c r="Z3" s="109" t="s">
        <v>7</v>
      </c>
      <c r="AA3" s="126">
        <v>0</v>
      </c>
      <c r="AC3" s="8" t="s">
        <v>8</v>
      </c>
      <c r="AD3" s="125">
        <v>0</v>
      </c>
    </row>
    <row r="4" spans="1:30">
      <c r="A4" s="15"/>
      <c r="B4" s="20"/>
      <c r="C4" s="17"/>
      <c r="D4" s="211" t="s">
        <v>9</v>
      </c>
      <c r="E4" s="212"/>
      <c r="F4" s="23"/>
      <c r="G4" s="23"/>
      <c r="H4" s="23"/>
      <c r="I4" s="23"/>
      <c r="J4" s="23"/>
      <c r="K4" s="23"/>
      <c r="L4" s="23" t="s">
        <v>11</v>
      </c>
      <c r="M4" s="69" t="s">
        <v>12</v>
      </c>
      <c r="N4" s="23" t="s">
        <v>13</v>
      </c>
      <c r="O4" s="69"/>
      <c r="P4" s="70"/>
      <c r="Q4" s="67"/>
      <c r="R4" s="67"/>
      <c r="S4" s="67"/>
      <c r="T4" s="17"/>
      <c r="U4" s="98"/>
      <c r="V4" s="17"/>
      <c r="W4" s="17"/>
      <c r="X4" s="17"/>
      <c r="Y4" s="17"/>
      <c r="Z4" s="109" t="s">
        <v>14</v>
      </c>
      <c r="AA4" s="17"/>
    </row>
    <row r="5" spans="1:30" ht="15.75" customHeight="1">
      <c r="A5" s="24"/>
      <c r="B5" s="16"/>
      <c r="C5" s="25"/>
      <c r="D5" s="213" t="s">
        <v>15</v>
      </c>
      <c r="E5" s="214"/>
      <c r="F5" s="217" t="s">
        <v>16</v>
      </c>
      <c r="G5" s="218"/>
      <c r="H5" s="218"/>
      <c r="I5" s="218"/>
      <c r="J5" s="201"/>
      <c r="K5" s="202"/>
      <c r="L5" s="202"/>
      <c r="M5" s="202"/>
      <c r="N5" s="202"/>
      <c r="O5" s="202"/>
      <c r="P5" s="203"/>
      <c r="Q5" s="67"/>
      <c r="R5" s="67"/>
      <c r="S5" s="67"/>
      <c r="T5" s="17"/>
      <c r="U5" s="98"/>
      <c r="V5" s="17"/>
      <c r="W5" s="17"/>
      <c r="X5" s="17"/>
      <c r="Y5" s="17"/>
      <c r="Z5" s="110"/>
      <c r="AA5" s="17"/>
    </row>
    <row r="6" spans="1:30">
      <c r="A6" s="15"/>
      <c r="B6" s="16"/>
      <c r="C6" s="17"/>
      <c r="D6" s="215"/>
      <c r="E6" s="216"/>
      <c r="F6" s="220"/>
      <c r="G6" s="221"/>
      <c r="H6" s="221"/>
      <c r="I6" s="221"/>
      <c r="J6" s="204"/>
      <c r="K6" s="205"/>
      <c r="L6" s="205"/>
      <c r="M6" s="205"/>
      <c r="N6" s="205"/>
      <c r="O6" s="205"/>
      <c r="P6" s="206"/>
      <c r="Q6" s="67"/>
      <c r="R6" s="67"/>
      <c r="S6" s="67"/>
      <c r="T6" s="17"/>
      <c r="U6" s="98"/>
      <c r="V6" s="17"/>
      <c r="W6" s="17"/>
      <c r="X6" s="17"/>
      <c r="Y6" s="17"/>
      <c r="Z6" s="111" t="s">
        <v>17</v>
      </c>
      <c r="AA6" s="17"/>
    </row>
    <row r="7" spans="1:30" ht="15" customHeight="1">
      <c r="A7" s="15"/>
      <c r="B7" s="20"/>
      <c r="C7" s="17"/>
      <c r="D7" s="15" t="s">
        <v>18</v>
      </c>
      <c r="E7" s="27"/>
      <c r="F7" s="17"/>
      <c r="G7" s="17"/>
      <c r="H7" s="17"/>
      <c r="I7" s="17"/>
      <c r="J7" s="17"/>
      <c r="K7" s="17"/>
      <c r="L7" s="17"/>
      <c r="M7" s="17"/>
      <c r="N7" s="17"/>
      <c r="O7" s="17"/>
      <c r="P7" s="21"/>
      <c r="Q7"/>
      <c r="R7" s="17" t="s">
        <v>19</v>
      </c>
      <c r="S7" s="99">
        <v>38</v>
      </c>
      <c r="T7" s="17"/>
      <c r="U7" s="98"/>
      <c r="V7" s="17"/>
      <c r="W7" s="17"/>
      <c r="X7" s="17"/>
      <c r="Y7" s="17"/>
      <c r="Z7" s="229">
        <v>44316</v>
      </c>
      <c r="AA7" s="17"/>
    </row>
    <row r="8" spans="1:30" ht="15.75" customHeight="1">
      <c r="A8" s="28"/>
      <c r="B8" s="29"/>
      <c r="C8" s="30"/>
      <c r="D8" s="28" t="s">
        <v>20</v>
      </c>
      <c r="E8" s="32"/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  <c r="Q8" s="17"/>
      <c r="R8" s="17" t="s">
        <v>21</v>
      </c>
      <c r="S8" s="99">
        <v>38</v>
      </c>
      <c r="T8" s="17"/>
      <c r="U8" s="98"/>
      <c r="V8" s="17"/>
      <c r="W8" s="17"/>
      <c r="X8" s="17"/>
      <c r="Y8" s="17"/>
      <c r="Z8" s="230"/>
      <c r="AA8" s="17"/>
      <c r="AB8" s="112"/>
    </row>
    <row r="9" spans="1:30" ht="7.5" customHeight="1">
      <c r="A9" s="33"/>
      <c r="B9" s="20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71"/>
      <c r="O9" s="71"/>
      <c r="P9" s="71"/>
      <c r="Q9" s="17"/>
      <c r="R9" s="17"/>
      <c r="S9" s="99"/>
      <c r="T9" s="17"/>
      <c r="U9" s="98"/>
      <c r="V9" s="17"/>
      <c r="W9" s="17"/>
      <c r="X9" s="17"/>
      <c r="Y9" s="17"/>
      <c r="Z9" s="17"/>
      <c r="AA9" s="17"/>
    </row>
    <row r="10" spans="1:30" ht="15.75">
      <c r="A10" s="231" t="s">
        <v>22</v>
      </c>
      <c r="C10" s="233" t="s">
        <v>23</v>
      </c>
      <c r="D10" s="235" t="s">
        <v>25</v>
      </c>
      <c r="E10" s="237" t="s">
        <v>26</v>
      </c>
      <c r="F10" s="238"/>
      <c r="G10" s="237" t="s">
        <v>27</v>
      </c>
      <c r="H10" s="238"/>
      <c r="I10" s="239" t="s">
        <v>28</v>
      </c>
      <c r="J10" s="320" t="s">
        <v>30</v>
      </c>
      <c r="K10" s="322" t="s">
        <v>31</v>
      </c>
      <c r="L10" s="239" t="s">
        <v>33</v>
      </c>
      <c r="M10" s="239" t="s">
        <v>34</v>
      </c>
      <c r="N10" s="245" t="s">
        <v>35</v>
      </c>
      <c r="O10" s="246"/>
      <c r="P10" s="247"/>
      <c r="Q10" s="17"/>
      <c r="R10" s="17"/>
      <c r="S10" s="99"/>
      <c r="T10" s="17"/>
      <c r="U10" s="17"/>
      <c r="V10" s="17"/>
      <c r="W10" s="17"/>
      <c r="X10" s="17"/>
      <c r="Y10" s="17"/>
      <c r="Z10" s="251" t="s">
        <v>36</v>
      </c>
    </row>
    <row r="11" spans="1:30" ht="15.75">
      <c r="A11" s="232"/>
      <c r="B11" s="35"/>
      <c r="C11" s="234"/>
      <c r="D11" s="236"/>
      <c r="E11" s="37" t="s">
        <v>38</v>
      </c>
      <c r="F11" s="37" t="s">
        <v>39</v>
      </c>
      <c r="G11" s="37" t="s">
        <v>38</v>
      </c>
      <c r="H11" s="37" t="s">
        <v>39</v>
      </c>
      <c r="I11" s="240"/>
      <c r="J11" s="321"/>
      <c r="K11" s="322"/>
      <c r="L11" s="240"/>
      <c r="M11" s="240"/>
      <c r="N11" s="248"/>
      <c r="O11" s="249"/>
      <c r="P11" s="250"/>
      <c r="Q11" s="17"/>
      <c r="R11" s="100" t="s">
        <v>40</v>
      </c>
      <c r="S11" s="100" t="s">
        <v>41</v>
      </c>
      <c r="T11" s="100" t="s">
        <v>42</v>
      </c>
      <c r="U11" s="100" t="s">
        <v>43</v>
      </c>
      <c r="V11" s="100" t="s">
        <v>44</v>
      </c>
      <c r="W11" s="100" t="s">
        <v>45</v>
      </c>
      <c r="X11" s="100" t="s">
        <v>46</v>
      </c>
      <c r="Y11" s="37" t="s">
        <v>47</v>
      </c>
      <c r="Z11" s="252"/>
      <c r="AB11" s="8" t="s">
        <v>48</v>
      </c>
      <c r="AC11" s="8" t="e">
        <f>COUNTIF(#REF!,$AA$2)</f>
        <v>#REF!</v>
      </c>
      <c r="AD11" s="126" t="e">
        <f>SUM(#REF!)</f>
        <v>#REF!</v>
      </c>
    </row>
    <row r="12" spans="1:30">
      <c r="A12" s="38">
        <v>44341</v>
      </c>
      <c r="B12" s="20" t="e">
        <f>VLOOKUP($A12,Datas!$B:$E,4,0)</f>
        <v>#N/A</v>
      </c>
      <c r="C12" s="39" t="str">
        <f t="array" ref="C12">TEXT(INDEX($A$12:$A$41,MATCH(Datas!A2&amp;Datas!C2&amp;Datas!D2,Datas!$A$2:$A$336&amp;Datas!$C$2:$C$336&amp;Datas!$D$2:$D$336,0)),"DDD")</f>
        <v>seg</v>
      </c>
      <c r="D12" s="41"/>
      <c r="E12" s="41"/>
      <c r="F12" s="41"/>
      <c r="G12" s="41"/>
      <c r="H12" s="41"/>
      <c r="I12" s="41"/>
      <c r="J12" s="75">
        <f>IFERROR((E12-D12)+(G12-F12)+(I12-H12)-#REF!,0)</f>
        <v>0</v>
      </c>
      <c r="K12" s="118">
        <v>0</v>
      </c>
      <c r="L12" s="77">
        <f t="shared" ref="L12:L33" si="0">R12</f>
        <v>0</v>
      </c>
      <c r="M12" s="76">
        <f t="shared" ref="M12:M33" si="1">IF(J12&gt;=0.01,9,0)</f>
        <v>0</v>
      </c>
      <c r="N12" s="323"/>
      <c r="O12" s="324"/>
      <c r="P12" s="325"/>
      <c r="Q12" s="17"/>
      <c r="R12" s="41">
        <f>S12+U12</f>
        <v>0</v>
      </c>
      <c r="S12" s="41">
        <f t="shared" ref="S12:S41" si="2">IFERROR(T12-W12,0)</f>
        <v>0</v>
      </c>
      <c r="T12" s="41">
        <f t="shared" ref="T12:T41" si="3">IF(AND(D12&gt;=$Y$14,D12&lt;=$Y$15),$Y$15,IF(AND(D12&gt;=$Y$12,D12&lt;=$Y$13),$Y$12,0))</f>
        <v>0</v>
      </c>
      <c r="U12" s="41">
        <f t="shared" ref="U12:U41" si="4">IFERROR(X12-V12,0)</f>
        <v>0</v>
      </c>
      <c r="V12" s="41">
        <f t="shared" ref="V12:V41" si="5">IF(AND(I12&gt;=$Y$14,I12&lt;=$Y$15),$Y$15,IF(AND(I12&gt;=$Y$12,I12&lt;=$Y$13),$Y$12,0))</f>
        <v>0</v>
      </c>
      <c r="W12" s="41">
        <f t="shared" ref="W12:W41" si="6">IF(AND($D12&gt;=$Y$12,$D12&lt;=$Y$13),$D12,IF(AND($D12&gt;=$Y$14,$D12&lt;=$Y$15),$D12,0))</f>
        <v>0</v>
      </c>
      <c r="X12" s="41">
        <f t="shared" ref="X12:X41" si="7">IF(AND($I12&gt;=$Y$12,$I12&lt;=$Y$13),$I12,IF(AND($I12&gt;=$Y$14,$I12&lt;=$Y$15),$I12,0))</f>
        <v>0</v>
      </c>
      <c r="Y12" s="127">
        <v>0.91666666666666696</v>
      </c>
      <c r="Z12" s="114"/>
      <c r="AB12" s="8" t="s">
        <v>49</v>
      </c>
      <c r="AC12" s="8" t="e">
        <f>COUNTIF(#REF!,$AA$2)</f>
        <v>#REF!</v>
      </c>
      <c r="AD12" s="126" t="e">
        <f>SUM(#REF!)</f>
        <v>#REF!</v>
      </c>
    </row>
    <row r="13" spans="1:30">
      <c r="A13" s="42">
        <f>A12+1</f>
        <v>44342</v>
      </c>
      <c r="B13" s="20" t="e">
        <f>VLOOKUP($A13,Datas!$B:$E,4,0)</f>
        <v>#N/A</v>
      </c>
      <c r="C13" s="39" t="str">
        <f t="array" ref="C13">TEXT(INDEX($A$12:$A$41,MATCH(Datas!A3&amp;Datas!C3&amp;Datas!D3,Datas!$A$2:$A$336&amp;Datas!$C$2:$C$336&amp;Datas!$D$2:$D$336,0)),"DDD")</f>
        <v>ter</v>
      </c>
      <c r="D13" s="41"/>
      <c r="E13" s="41"/>
      <c r="F13" s="41"/>
      <c r="G13" s="41"/>
      <c r="H13" s="41"/>
      <c r="I13" s="41"/>
      <c r="J13" s="75">
        <f>IFERROR((E13-D13)+(G13-F13)+(I13-H13)-#REF!,0)</f>
        <v>0</v>
      </c>
      <c r="K13" s="118">
        <v>0.29166666666666702</v>
      </c>
      <c r="L13" s="77">
        <v>0.25</v>
      </c>
      <c r="M13" s="76">
        <v>9</v>
      </c>
      <c r="N13" s="323"/>
      <c r="O13" s="324"/>
      <c r="P13" s="325"/>
      <c r="Q13" s="17"/>
      <c r="R13" s="41">
        <f t="shared" ref="R13:R41" si="8">S13+U13</f>
        <v>0</v>
      </c>
      <c r="S13" s="41">
        <f t="shared" si="2"/>
        <v>0</v>
      </c>
      <c r="T13" s="41">
        <f t="shared" si="3"/>
        <v>0</v>
      </c>
      <c r="U13" s="41">
        <f t="shared" si="4"/>
        <v>0</v>
      </c>
      <c r="V13" s="41">
        <f t="shared" si="5"/>
        <v>0</v>
      </c>
      <c r="W13" s="41">
        <f t="shared" si="6"/>
        <v>0</v>
      </c>
      <c r="X13" s="41">
        <f t="shared" si="7"/>
        <v>0</v>
      </c>
      <c r="Y13" s="127">
        <v>0.999305555555556</v>
      </c>
      <c r="Z13" s="114"/>
    </row>
    <row r="14" spans="1:30">
      <c r="A14" s="42">
        <f t="shared" ref="A14:A41" si="9">A13+1</f>
        <v>44343</v>
      </c>
      <c r="B14" s="20" t="e">
        <f>VLOOKUP($A14,Datas!$B:$E,4,0)</f>
        <v>#N/A</v>
      </c>
      <c r="C14" s="39" t="str">
        <f t="array" ref="C14">TEXT(INDEX($A$12:$A$41,MATCH(Datas!A4&amp;Datas!C4&amp;Datas!D4,Datas!$A$2:$A$336&amp;Datas!$C$2:$C$336&amp;Datas!$D$2:$D$336,0)),"DDD")</f>
        <v>qua</v>
      </c>
      <c r="D14" s="41"/>
      <c r="E14" s="41"/>
      <c r="F14" s="41"/>
      <c r="G14" s="41"/>
      <c r="H14" s="41"/>
      <c r="I14" s="41"/>
      <c r="J14" s="75">
        <f>IFERROR((E14-D14)+(G14-F14)+(I14-H14)-#REF!,0)</f>
        <v>0</v>
      </c>
      <c r="K14" s="118">
        <v>0.5</v>
      </c>
      <c r="L14" s="77">
        <v>0.29166666666666702</v>
      </c>
      <c r="M14" s="76">
        <v>9</v>
      </c>
      <c r="N14" s="323"/>
      <c r="O14" s="324"/>
      <c r="P14" s="325"/>
      <c r="Q14" s="17"/>
      <c r="R14" s="41">
        <f t="shared" si="8"/>
        <v>0</v>
      </c>
      <c r="S14" s="41">
        <f t="shared" si="2"/>
        <v>0</v>
      </c>
      <c r="T14" s="41">
        <f t="shared" si="3"/>
        <v>0</v>
      </c>
      <c r="U14" s="41">
        <f t="shared" si="4"/>
        <v>0</v>
      </c>
      <c r="V14" s="41">
        <f t="shared" si="5"/>
        <v>0</v>
      </c>
      <c r="W14" s="41">
        <f t="shared" si="6"/>
        <v>0</v>
      </c>
      <c r="X14" s="41">
        <f t="shared" si="7"/>
        <v>0</v>
      </c>
      <c r="Y14" s="127">
        <v>6.9444444444444404E-4</v>
      </c>
      <c r="Z14" s="114"/>
    </row>
    <row r="15" spans="1:30">
      <c r="A15" s="42">
        <f t="shared" si="9"/>
        <v>44344</v>
      </c>
      <c r="B15" s="20" t="e">
        <f>VLOOKUP($A15,Datas!$B:$E,4,0)</f>
        <v>#N/A</v>
      </c>
      <c r="C15" s="39" t="str">
        <f t="array" ref="C15">TEXT(INDEX($A$12:$A$41,MATCH(Datas!A5&amp;Datas!C5&amp;Datas!D5,Datas!$A$2:$A$336&amp;Datas!$C$2:$C$336&amp;Datas!$D$2:$D$336,0)),"DDD")</f>
        <v>qui</v>
      </c>
      <c r="D15" s="41"/>
      <c r="E15" s="41"/>
      <c r="F15" s="41"/>
      <c r="G15" s="41"/>
      <c r="H15" s="41"/>
      <c r="I15" s="41"/>
      <c r="J15" s="75">
        <f>IFERROR((E15-D15)+(G15-F15)+(I15-H15)-#REF!,0)</f>
        <v>0</v>
      </c>
      <c r="K15" s="118">
        <v>0.5</v>
      </c>
      <c r="L15" s="77">
        <v>0.29166666666666702</v>
      </c>
      <c r="M15" s="76">
        <v>9</v>
      </c>
      <c r="N15" s="323"/>
      <c r="O15" s="324"/>
      <c r="P15" s="325"/>
      <c r="Q15" s="17"/>
      <c r="R15" s="41">
        <f t="shared" si="8"/>
        <v>0</v>
      </c>
      <c r="S15" s="41">
        <f t="shared" si="2"/>
        <v>0</v>
      </c>
      <c r="T15" s="41">
        <f t="shared" si="3"/>
        <v>0</v>
      </c>
      <c r="U15" s="41">
        <f t="shared" si="4"/>
        <v>0</v>
      </c>
      <c r="V15" s="41">
        <f t="shared" si="5"/>
        <v>0</v>
      </c>
      <c r="W15" s="41">
        <f t="shared" si="6"/>
        <v>0</v>
      </c>
      <c r="X15" s="41">
        <f t="shared" si="7"/>
        <v>0</v>
      </c>
      <c r="Y15" s="127">
        <v>0.20833333333333301</v>
      </c>
      <c r="Z15" s="114"/>
    </row>
    <row r="16" spans="1:30">
      <c r="A16" s="42">
        <f t="shared" si="9"/>
        <v>44345</v>
      </c>
      <c r="B16" s="20" t="e">
        <f>VLOOKUP($A16,Datas!$B:$E,4,0)</f>
        <v>#N/A</v>
      </c>
      <c r="C16" s="39" t="str">
        <f t="array" ref="C16">TEXT(INDEX($A$12:$A$41,MATCH(Datas!A6&amp;Datas!C6&amp;Datas!D6,Datas!$A$2:$A$336&amp;Datas!$C$2:$C$336&amp;Datas!$D$2:$D$336,0)),"DDD")</f>
        <v>sex</v>
      </c>
      <c r="D16" s="41"/>
      <c r="E16" s="41"/>
      <c r="F16" s="41"/>
      <c r="G16" s="41"/>
      <c r="H16" s="41"/>
      <c r="I16" s="41"/>
      <c r="J16" s="75">
        <f>IFERROR((E16-D16)+(G16-F16)+(I16-H16)-#REF!,0)</f>
        <v>0</v>
      </c>
      <c r="K16" s="118">
        <v>0.30555555555555602</v>
      </c>
      <c r="L16" s="77">
        <v>0.180555555555556</v>
      </c>
      <c r="M16" s="76">
        <f t="shared" si="1"/>
        <v>0</v>
      </c>
      <c r="N16" s="323"/>
      <c r="O16" s="324"/>
      <c r="P16" s="325"/>
      <c r="Q16" s="17"/>
      <c r="R16" s="41">
        <f t="shared" si="8"/>
        <v>0</v>
      </c>
      <c r="S16" s="41">
        <f t="shared" si="2"/>
        <v>0</v>
      </c>
      <c r="T16" s="41">
        <f t="shared" si="3"/>
        <v>0</v>
      </c>
      <c r="U16" s="41">
        <f t="shared" si="4"/>
        <v>0</v>
      </c>
      <c r="V16" s="41">
        <f t="shared" si="5"/>
        <v>0</v>
      </c>
      <c r="W16" s="41">
        <f t="shared" si="6"/>
        <v>0</v>
      </c>
      <c r="X16" s="41">
        <f t="shared" si="7"/>
        <v>0</v>
      </c>
      <c r="Y16" s="127"/>
      <c r="Z16" s="114"/>
    </row>
    <row r="17" spans="1:26">
      <c r="A17" s="42">
        <f t="shared" si="9"/>
        <v>44346</v>
      </c>
      <c r="B17" s="20" t="e">
        <f>VLOOKUP($A17,Datas!$B:$E,4,0)</f>
        <v>#N/A</v>
      </c>
      <c r="C17" s="39" t="str">
        <f t="array" ref="C17">TEXT(INDEX($A$12:$A$41,MATCH(Datas!A7&amp;Datas!C7&amp;Datas!D7,Datas!$A$2:$A$336&amp;Datas!$C$2:$C$336&amp;Datas!$D$2:$D$336,0)),"DDD")</f>
        <v>sáb</v>
      </c>
      <c r="D17" s="41"/>
      <c r="E17" s="41"/>
      <c r="F17" s="41"/>
      <c r="G17" s="41"/>
      <c r="H17" s="41"/>
      <c r="I17" s="41"/>
      <c r="J17" s="75">
        <f>IFERROR((E17-D17)+(G17-F17)+(I17-H17)-#REF!,0)</f>
        <v>0</v>
      </c>
      <c r="K17" s="118">
        <v>0.29166666666666702</v>
      </c>
      <c r="L17" s="77">
        <v>0.25</v>
      </c>
      <c r="M17" s="76">
        <v>9</v>
      </c>
      <c r="N17" s="78"/>
      <c r="O17" s="79"/>
      <c r="P17" s="80"/>
      <c r="Q17" s="17"/>
      <c r="R17" s="41">
        <f t="shared" si="8"/>
        <v>0</v>
      </c>
      <c r="S17" s="41">
        <f t="shared" si="2"/>
        <v>0</v>
      </c>
      <c r="T17" s="41">
        <f t="shared" si="3"/>
        <v>0</v>
      </c>
      <c r="U17" s="41">
        <f t="shared" si="4"/>
        <v>0</v>
      </c>
      <c r="V17" s="41">
        <f t="shared" si="5"/>
        <v>0</v>
      </c>
      <c r="W17" s="41">
        <f t="shared" si="6"/>
        <v>0</v>
      </c>
      <c r="X17" s="41">
        <f t="shared" si="7"/>
        <v>0</v>
      </c>
      <c r="Y17" s="127"/>
      <c r="Z17" s="128"/>
    </row>
    <row r="18" spans="1:26">
      <c r="A18" s="42">
        <f t="shared" si="9"/>
        <v>44347</v>
      </c>
      <c r="B18" s="20" t="e">
        <f>VLOOKUP($A18,Datas!$B:$E,4,0)</f>
        <v>#N/A</v>
      </c>
      <c r="C18" s="39" t="str">
        <f t="array" ref="C18">TEXT(INDEX($A$12:$A$41,MATCH(Datas!A8&amp;Datas!C8&amp;Datas!D8,Datas!$A$2:$A$336&amp;Datas!$C$2:$C$336&amp;Datas!$D$2:$D$336,0)),"DDD")</f>
        <v>dom</v>
      </c>
      <c r="D18" s="41"/>
      <c r="E18" s="41"/>
      <c r="F18" s="41"/>
      <c r="G18" s="41"/>
      <c r="H18" s="41"/>
      <c r="I18" s="41"/>
      <c r="J18" s="75">
        <f>IFERROR((E18-D18)+(G18-F18)+(I18-H18)-#REF!,0)</f>
        <v>0</v>
      </c>
      <c r="K18" s="118">
        <v>0.5</v>
      </c>
      <c r="L18" s="77">
        <v>0.29166666666666702</v>
      </c>
      <c r="M18" s="76">
        <v>9</v>
      </c>
      <c r="N18" s="323"/>
      <c r="O18" s="324"/>
      <c r="P18" s="325"/>
      <c r="Q18" s="17"/>
      <c r="R18" s="41">
        <f t="shared" si="8"/>
        <v>0</v>
      </c>
      <c r="S18" s="41">
        <f t="shared" si="2"/>
        <v>0</v>
      </c>
      <c r="T18" s="41">
        <f t="shared" si="3"/>
        <v>0</v>
      </c>
      <c r="U18" s="41">
        <f t="shared" si="4"/>
        <v>0</v>
      </c>
      <c r="V18" s="41">
        <f t="shared" si="5"/>
        <v>0</v>
      </c>
      <c r="W18" s="41">
        <f t="shared" si="6"/>
        <v>0</v>
      </c>
      <c r="X18" s="41">
        <f t="shared" si="7"/>
        <v>0</v>
      </c>
      <c r="Y18" s="127"/>
      <c r="Z18" s="114"/>
    </row>
    <row r="19" spans="1:26">
      <c r="A19" s="42">
        <f t="shared" si="9"/>
        <v>44348</v>
      </c>
      <c r="B19" s="20" t="e">
        <f>VLOOKUP($A19,Datas!$B:$E,4,0)</f>
        <v>#N/A</v>
      </c>
      <c r="C19" s="39" t="str">
        <f t="array" ref="C19">TEXT(INDEX($A$12:$A$41,MATCH(Datas!A9&amp;Datas!C9&amp;Datas!D9,Datas!$A$2:$A$336&amp;Datas!$C$2:$C$336&amp;Datas!$D$2:$D$336,0)),"DDD")</f>
        <v>seg</v>
      </c>
      <c r="D19" s="41"/>
      <c r="E19" s="41"/>
      <c r="F19" s="41"/>
      <c r="G19" s="41"/>
      <c r="H19" s="41"/>
      <c r="I19" s="41"/>
      <c r="J19" s="75">
        <f>IFERROR((E19-D19)+(G19-F19)+(I19-H19)-#REF!,0)</f>
        <v>0</v>
      </c>
      <c r="K19" s="118">
        <v>0</v>
      </c>
      <c r="L19" s="77">
        <f t="shared" si="0"/>
        <v>0</v>
      </c>
      <c r="M19" s="76">
        <f t="shared" si="1"/>
        <v>0</v>
      </c>
      <c r="N19" s="323"/>
      <c r="O19" s="324"/>
      <c r="P19" s="325"/>
      <c r="Q19" s="17"/>
      <c r="R19" s="41">
        <f t="shared" si="8"/>
        <v>0</v>
      </c>
      <c r="S19" s="41">
        <f t="shared" si="2"/>
        <v>0</v>
      </c>
      <c r="T19" s="41">
        <f t="shared" si="3"/>
        <v>0</v>
      </c>
      <c r="U19" s="41">
        <f t="shared" si="4"/>
        <v>0</v>
      </c>
      <c r="V19" s="41">
        <f t="shared" si="5"/>
        <v>0</v>
      </c>
      <c r="W19" s="41">
        <f t="shared" si="6"/>
        <v>0</v>
      </c>
      <c r="X19" s="41">
        <f t="shared" si="7"/>
        <v>0</v>
      </c>
      <c r="Y19" s="127"/>
      <c r="Z19" s="114"/>
    </row>
    <row r="20" spans="1:26">
      <c r="A20" s="42">
        <f t="shared" si="9"/>
        <v>44349</v>
      </c>
      <c r="B20" s="20" t="e">
        <f>VLOOKUP($A20,Datas!$B:$E,4,0)</f>
        <v>#N/A</v>
      </c>
      <c r="C20" s="39" t="str">
        <f t="array" ref="C20">TEXT(INDEX($A$12:$A$41,MATCH(Datas!A10&amp;Datas!C10&amp;Datas!D10,Datas!$A$2:$A$336&amp;Datas!$C$2:$C$336&amp;Datas!$D$2:$D$336,0)),"DDD")</f>
        <v>ter</v>
      </c>
      <c r="D20" s="41"/>
      <c r="E20" s="41"/>
      <c r="F20" s="41"/>
      <c r="G20" s="41"/>
      <c r="H20" s="41"/>
      <c r="I20" s="41"/>
      <c r="J20" s="75">
        <f>IFERROR((E20-D20)+(G20-F20)+(I20-H20)-#REF!,0)</f>
        <v>0</v>
      </c>
      <c r="K20" s="118">
        <v>0.29166666666666702</v>
      </c>
      <c r="L20" s="77">
        <v>0.25</v>
      </c>
      <c r="M20" s="76">
        <v>9</v>
      </c>
      <c r="N20" s="323"/>
      <c r="O20" s="324"/>
      <c r="P20" s="325"/>
      <c r="Q20" s="17"/>
      <c r="R20" s="41">
        <f t="shared" si="8"/>
        <v>0</v>
      </c>
      <c r="S20" s="41">
        <f t="shared" si="2"/>
        <v>0</v>
      </c>
      <c r="T20" s="41">
        <f t="shared" si="3"/>
        <v>0</v>
      </c>
      <c r="U20" s="41">
        <f t="shared" si="4"/>
        <v>0</v>
      </c>
      <c r="V20" s="41">
        <f t="shared" si="5"/>
        <v>0</v>
      </c>
      <c r="W20" s="41">
        <f t="shared" si="6"/>
        <v>0</v>
      </c>
      <c r="X20" s="41">
        <f t="shared" si="7"/>
        <v>0</v>
      </c>
      <c r="Y20" s="129"/>
      <c r="Z20" s="114"/>
    </row>
    <row r="21" spans="1:26">
      <c r="A21" s="42">
        <f t="shared" si="9"/>
        <v>44350</v>
      </c>
      <c r="B21" s="20" t="e">
        <f>VLOOKUP($A21,Datas!$B:$E,4,0)</f>
        <v>#N/A</v>
      </c>
      <c r="C21" s="39" t="str">
        <f t="array" ref="C21">TEXT(INDEX($A$12:$A$41,MATCH(Datas!A11&amp;Datas!C11&amp;Datas!D11,Datas!$A$2:$A$336&amp;Datas!$C$2:$C$336&amp;Datas!$D$2:$D$336,0)),"DDD")</f>
        <v>qua</v>
      </c>
      <c r="D21" s="41"/>
      <c r="E21" s="41"/>
      <c r="F21" s="41"/>
      <c r="G21" s="41"/>
      <c r="H21" s="41"/>
      <c r="I21" s="41"/>
      <c r="J21" s="75">
        <f>IFERROR((E21-D21)+(G21-F21)+(I21-H21)-#REF!,0)</f>
        <v>0</v>
      </c>
      <c r="K21" s="118">
        <v>0.5</v>
      </c>
      <c r="L21" s="77">
        <v>0.29166666666666702</v>
      </c>
      <c r="M21" s="76">
        <v>9</v>
      </c>
      <c r="N21" s="323"/>
      <c r="O21" s="324"/>
      <c r="P21" s="325"/>
      <c r="Q21" s="17"/>
      <c r="R21" s="41">
        <f t="shared" si="8"/>
        <v>0</v>
      </c>
      <c r="S21" s="41">
        <f t="shared" si="2"/>
        <v>0</v>
      </c>
      <c r="T21" s="41">
        <f t="shared" si="3"/>
        <v>0</v>
      </c>
      <c r="U21" s="41">
        <f t="shared" si="4"/>
        <v>0</v>
      </c>
      <c r="V21" s="41">
        <f t="shared" si="5"/>
        <v>0</v>
      </c>
      <c r="W21" s="41">
        <f t="shared" si="6"/>
        <v>0</v>
      </c>
      <c r="X21" s="41">
        <f t="shared" si="7"/>
        <v>0</v>
      </c>
      <c r="Y21" s="129"/>
      <c r="Z21" s="114"/>
    </row>
    <row r="22" spans="1:26">
      <c r="A22" s="42">
        <f t="shared" si="9"/>
        <v>44351</v>
      </c>
      <c r="B22" s="20" t="e">
        <f>VLOOKUP($A22,Datas!$B:$E,4,0)</f>
        <v>#N/A</v>
      </c>
      <c r="C22" s="39" t="str">
        <f t="array" ref="C22">TEXT(INDEX($A$12:$A$41,MATCH(Datas!A12&amp;Datas!C12&amp;Datas!D12,Datas!$A$2:$A$336&amp;Datas!$C$2:$C$336&amp;Datas!$D$2:$D$336,0)),"DDD")</f>
        <v>qui</v>
      </c>
      <c r="D22" s="41"/>
      <c r="E22" s="41"/>
      <c r="F22" s="41"/>
      <c r="G22" s="41"/>
      <c r="H22" s="41"/>
      <c r="I22" s="41"/>
      <c r="J22" s="75">
        <f>IFERROR((E22-D22)+(G22-F22)+(I22-H22)-#REF!,0)</f>
        <v>0</v>
      </c>
      <c r="K22" s="118">
        <v>0.5</v>
      </c>
      <c r="L22" s="77">
        <v>0.29166666666666702</v>
      </c>
      <c r="M22" s="76">
        <v>9</v>
      </c>
      <c r="N22" s="78"/>
      <c r="O22" s="82"/>
      <c r="P22" s="83"/>
      <c r="Q22" s="17"/>
      <c r="R22" s="41">
        <f t="shared" si="8"/>
        <v>0</v>
      </c>
      <c r="S22" s="41">
        <f t="shared" si="2"/>
        <v>0</v>
      </c>
      <c r="T22" s="41">
        <f t="shared" si="3"/>
        <v>0</v>
      </c>
      <c r="U22" s="41">
        <f t="shared" si="4"/>
        <v>0</v>
      </c>
      <c r="V22" s="41">
        <f t="shared" si="5"/>
        <v>0</v>
      </c>
      <c r="W22" s="41">
        <f t="shared" si="6"/>
        <v>0</v>
      </c>
      <c r="X22" s="41">
        <f t="shared" si="7"/>
        <v>0</v>
      </c>
      <c r="Y22" s="129"/>
      <c r="Z22" s="114"/>
    </row>
    <row r="23" spans="1:26">
      <c r="A23" s="42">
        <f t="shared" si="9"/>
        <v>44352</v>
      </c>
      <c r="B23" s="20" t="e">
        <f>VLOOKUP($A23,Datas!$B:$E,4,0)</f>
        <v>#N/A</v>
      </c>
      <c r="C23" s="39" t="str">
        <f t="array" ref="C23">TEXT(INDEX($A$12:$A$41,MATCH(Datas!A13&amp;Datas!C13&amp;Datas!D13,Datas!$A$2:$A$336&amp;Datas!$C$2:$C$336&amp;Datas!$D$2:$D$336,0)),"DDD")</f>
        <v>sex</v>
      </c>
      <c r="D23" s="41"/>
      <c r="E23" s="41"/>
      <c r="F23" s="41"/>
      <c r="G23" s="41"/>
      <c r="H23" s="41"/>
      <c r="I23" s="41"/>
      <c r="J23" s="75">
        <f>IFERROR((E23-D23)+(G23-F23)+(I23-H23)-#REF!,0)</f>
        <v>0</v>
      </c>
      <c r="K23" s="118">
        <v>0.5</v>
      </c>
      <c r="L23" s="77">
        <v>0.29166666666666702</v>
      </c>
      <c r="M23" s="76">
        <v>9</v>
      </c>
      <c r="N23" s="323"/>
      <c r="O23" s="324"/>
      <c r="P23" s="325"/>
      <c r="Q23" s="17"/>
      <c r="R23" s="41">
        <f t="shared" si="8"/>
        <v>0</v>
      </c>
      <c r="S23" s="41">
        <f t="shared" si="2"/>
        <v>0</v>
      </c>
      <c r="T23" s="41">
        <f t="shared" si="3"/>
        <v>0</v>
      </c>
      <c r="U23" s="41">
        <f t="shared" si="4"/>
        <v>0</v>
      </c>
      <c r="V23" s="41">
        <f t="shared" si="5"/>
        <v>0</v>
      </c>
      <c r="W23" s="41">
        <f t="shared" si="6"/>
        <v>0</v>
      </c>
      <c r="X23" s="41">
        <f t="shared" si="7"/>
        <v>0</v>
      </c>
      <c r="Y23" s="129"/>
      <c r="Z23" s="114"/>
    </row>
    <row r="24" spans="1:26">
      <c r="A24" s="42">
        <f t="shared" si="9"/>
        <v>44353</v>
      </c>
      <c r="B24" s="20" t="e">
        <f>VLOOKUP($A24,Datas!$B:$E,4,0)</f>
        <v>#N/A</v>
      </c>
      <c r="C24" s="39" t="str">
        <f t="array" ref="C24">TEXT(INDEX($A$12:$A$41,MATCH(Datas!A14&amp;Datas!C14&amp;Datas!D14,Datas!$A$2:$A$336&amp;Datas!$C$2:$C$336&amp;Datas!$D$2:$D$336,0)),"DDD")</f>
        <v>sáb</v>
      </c>
      <c r="D24" s="41"/>
      <c r="E24" s="41"/>
      <c r="F24" s="41"/>
      <c r="G24" s="41"/>
      <c r="H24" s="41"/>
      <c r="I24" s="41"/>
      <c r="J24" s="75">
        <f>IFERROR((E24-D24)+(G24-F24)+(I24-H24)-#REF!,0)</f>
        <v>0</v>
      </c>
      <c r="K24" s="118">
        <v>0.5</v>
      </c>
      <c r="L24" s="77">
        <v>0.29166666666666702</v>
      </c>
      <c r="M24" s="76">
        <v>9</v>
      </c>
      <c r="N24" s="323"/>
      <c r="O24" s="324"/>
      <c r="P24" s="325"/>
      <c r="Q24" s="17"/>
      <c r="R24" s="41">
        <f t="shared" si="8"/>
        <v>0</v>
      </c>
      <c r="S24" s="41">
        <f t="shared" si="2"/>
        <v>0</v>
      </c>
      <c r="T24" s="41">
        <f t="shared" si="3"/>
        <v>0</v>
      </c>
      <c r="U24" s="41">
        <f t="shared" si="4"/>
        <v>0</v>
      </c>
      <c r="V24" s="41">
        <f t="shared" si="5"/>
        <v>0</v>
      </c>
      <c r="W24" s="41">
        <f t="shared" si="6"/>
        <v>0</v>
      </c>
      <c r="X24" s="41">
        <f t="shared" si="7"/>
        <v>0</v>
      </c>
      <c r="Y24" s="129"/>
      <c r="Z24" s="114"/>
    </row>
    <row r="25" spans="1:26">
      <c r="A25" s="42">
        <f t="shared" si="9"/>
        <v>44354</v>
      </c>
      <c r="B25" s="20" t="e">
        <f>VLOOKUP($A25,Datas!$B:$E,4,0)</f>
        <v>#N/A</v>
      </c>
      <c r="C25" s="39" t="str">
        <f t="array" ref="C25">TEXT(INDEX($A$12:$A$41,MATCH(Datas!A15&amp;Datas!C15&amp;Datas!D15,Datas!$A$2:$A$336&amp;Datas!$C$2:$C$336&amp;Datas!$D$2:$D$336,0)),"DDD")</f>
        <v>dom</v>
      </c>
      <c r="D25" s="41"/>
      <c r="E25" s="41"/>
      <c r="F25" s="41"/>
      <c r="G25" s="41"/>
      <c r="H25" s="41"/>
      <c r="I25" s="41"/>
      <c r="J25" s="75">
        <f>IFERROR((E25-D25)+(G25-F25)+(I25-H25)-#REF!,0)</f>
        <v>0</v>
      </c>
      <c r="K25" s="118">
        <v>0.5</v>
      </c>
      <c r="L25" s="77">
        <v>0.29166666666666702</v>
      </c>
      <c r="M25" s="76">
        <v>9</v>
      </c>
      <c r="N25" s="323"/>
      <c r="O25" s="324"/>
      <c r="P25" s="325"/>
      <c r="Q25" s="17"/>
      <c r="R25" s="41">
        <f t="shared" si="8"/>
        <v>0</v>
      </c>
      <c r="S25" s="41">
        <f t="shared" si="2"/>
        <v>0</v>
      </c>
      <c r="T25" s="41">
        <f t="shared" si="3"/>
        <v>0</v>
      </c>
      <c r="U25" s="41">
        <f t="shared" si="4"/>
        <v>0</v>
      </c>
      <c r="V25" s="41">
        <f t="shared" si="5"/>
        <v>0</v>
      </c>
      <c r="W25" s="41">
        <f t="shared" si="6"/>
        <v>0</v>
      </c>
      <c r="X25" s="41">
        <f t="shared" si="7"/>
        <v>0</v>
      </c>
      <c r="Y25" s="129"/>
      <c r="Z25" s="114"/>
    </row>
    <row r="26" spans="1:26">
      <c r="A26" s="42">
        <f t="shared" si="9"/>
        <v>44355</v>
      </c>
      <c r="B26" s="20" t="e">
        <f>VLOOKUP($A26,Datas!$B:$E,4,0)</f>
        <v>#N/A</v>
      </c>
      <c r="C26" s="39" t="str">
        <f t="array" ref="C26">TEXT(INDEX($A$12:$A$41,MATCH(Datas!A16&amp;Datas!C16&amp;Datas!D16,Datas!$A$2:$A$336&amp;Datas!$C$2:$C$336&amp;Datas!$D$2:$D$336,0)),"DDD")</f>
        <v>seg</v>
      </c>
      <c r="D26" s="41"/>
      <c r="E26" s="41"/>
      <c r="F26" s="41"/>
      <c r="G26" s="41"/>
      <c r="H26" s="41"/>
      <c r="I26" s="41"/>
      <c r="J26" s="75">
        <f>IFERROR((E26-D26)+(G26-F26)+(I26-H26)-#REF!,0)</f>
        <v>0</v>
      </c>
      <c r="K26" s="118">
        <v>0</v>
      </c>
      <c r="L26" s="77">
        <f t="shared" si="0"/>
        <v>0</v>
      </c>
      <c r="M26" s="76">
        <f t="shared" si="1"/>
        <v>0</v>
      </c>
      <c r="N26" s="323"/>
      <c r="O26" s="324"/>
      <c r="P26" s="325"/>
      <c r="Q26" s="17"/>
      <c r="R26" s="41">
        <f t="shared" si="8"/>
        <v>0</v>
      </c>
      <c r="S26" s="41">
        <f t="shared" si="2"/>
        <v>0</v>
      </c>
      <c r="T26" s="41">
        <f t="shared" si="3"/>
        <v>0</v>
      </c>
      <c r="U26" s="41">
        <f t="shared" si="4"/>
        <v>0</v>
      </c>
      <c r="V26" s="41">
        <f t="shared" si="5"/>
        <v>0</v>
      </c>
      <c r="W26" s="41">
        <f t="shared" si="6"/>
        <v>0</v>
      </c>
      <c r="X26" s="41">
        <f t="shared" si="7"/>
        <v>0</v>
      </c>
      <c r="Y26" s="129"/>
      <c r="Z26" s="114"/>
    </row>
    <row r="27" spans="1:26">
      <c r="A27" s="42">
        <f t="shared" si="9"/>
        <v>44356</v>
      </c>
      <c r="B27" s="20" t="e">
        <f>VLOOKUP($A27,Datas!$B:$E,4,0)</f>
        <v>#N/A</v>
      </c>
      <c r="C27" s="39" t="str">
        <f t="array" ref="C27">TEXT(INDEX($A$12:$A$41,MATCH(Datas!A17&amp;Datas!C17&amp;Datas!D17,Datas!$A$2:$A$336&amp;Datas!$C$2:$C$336&amp;Datas!$D$2:$D$336,0)),"DDD")</f>
        <v>ter</v>
      </c>
      <c r="D27" s="41"/>
      <c r="E27" s="41"/>
      <c r="F27" s="41"/>
      <c r="G27" s="41"/>
      <c r="H27" s="41"/>
      <c r="I27" s="41"/>
      <c r="J27" s="75">
        <f>IFERROR((E27-D27)+(G27-F27)+(I27-H27)-#REF!,0)</f>
        <v>0</v>
      </c>
      <c r="K27" s="118">
        <v>0.29166666666666702</v>
      </c>
      <c r="L27" s="77">
        <v>0.25</v>
      </c>
      <c r="M27" s="76">
        <v>9</v>
      </c>
      <c r="N27" s="323"/>
      <c r="O27" s="324"/>
      <c r="P27" s="325"/>
      <c r="Q27" s="17"/>
      <c r="R27" s="41">
        <f t="shared" si="8"/>
        <v>0</v>
      </c>
      <c r="S27" s="41">
        <f t="shared" si="2"/>
        <v>0</v>
      </c>
      <c r="T27" s="41">
        <f t="shared" si="3"/>
        <v>0</v>
      </c>
      <c r="U27" s="41">
        <f t="shared" si="4"/>
        <v>0</v>
      </c>
      <c r="V27" s="41">
        <f t="shared" si="5"/>
        <v>0</v>
      </c>
      <c r="W27" s="41">
        <f t="shared" si="6"/>
        <v>0</v>
      </c>
      <c r="X27" s="41">
        <f t="shared" si="7"/>
        <v>0</v>
      </c>
      <c r="Y27" s="129"/>
      <c r="Z27" s="114"/>
    </row>
    <row r="28" spans="1:26">
      <c r="A28" s="42">
        <f t="shared" si="9"/>
        <v>44357</v>
      </c>
      <c r="B28" s="20" t="e">
        <f>VLOOKUP($A28,Datas!$B:$E,4,0)</f>
        <v>#N/A</v>
      </c>
      <c r="C28" s="39" t="str">
        <f t="array" ref="C28">TEXT(INDEX($A$12:$A$41,MATCH(Datas!A18&amp;Datas!C18&amp;Datas!D18,Datas!$A$2:$A$336&amp;Datas!$C$2:$C$336&amp;Datas!$D$2:$D$336,0)),"DDD")</f>
        <v>qua</v>
      </c>
      <c r="D28" s="41"/>
      <c r="E28" s="41"/>
      <c r="F28" s="41"/>
      <c r="G28" s="41"/>
      <c r="H28" s="41"/>
      <c r="I28" s="41"/>
      <c r="J28" s="75">
        <f>IFERROR((E28-D28)+(G28-F28)+(I28-H28)-#REF!,0)</f>
        <v>0</v>
      </c>
      <c r="K28" s="118">
        <v>0.5</v>
      </c>
      <c r="L28" s="77">
        <v>0.29166666666666702</v>
      </c>
      <c r="M28" s="76">
        <v>9</v>
      </c>
      <c r="N28" s="323"/>
      <c r="O28" s="324"/>
      <c r="P28" s="325"/>
      <c r="Q28" s="17"/>
      <c r="R28" s="41">
        <f t="shared" si="8"/>
        <v>0</v>
      </c>
      <c r="S28" s="41">
        <f t="shared" si="2"/>
        <v>0</v>
      </c>
      <c r="T28" s="41">
        <f t="shared" si="3"/>
        <v>0</v>
      </c>
      <c r="U28" s="41">
        <f t="shared" si="4"/>
        <v>0</v>
      </c>
      <c r="V28" s="41">
        <f t="shared" si="5"/>
        <v>0</v>
      </c>
      <c r="W28" s="41">
        <f t="shared" si="6"/>
        <v>0</v>
      </c>
      <c r="X28" s="41">
        <f t="shared" si="7"/>
        <v>0</v>
      </c>
      <c r="Y28" s="129"/>
      <c r="Z28" s="114"/>
    </row>
    <row r="29" spans="1:26">
      <c r="A29" s="42">
        <f t="shared" si="9"/>
        <v>44358</v>
      </c>
      <c r="B29" s="20" t="e">
        <f>VLOOKUP($A29,Datas!$B:$E,4,0)</f>
        <v>#N/A</v>
      </c>
      <c r="C29" s="39" t="str">
        <f t="array" ref="C29">TEXT(INDEX($A$12:$A$41,MATCH(Datas!A19&amp;Datas!C19&amp;Datas!D19,Datas!$A$2:$A$336&amp;Datas!$C$2:$C$336&amp;Datas!$D$2:$D$336,0)),"DDD")</f>
        <v>qui</v>
      </c>
      <c r="D29" s="41"/>
      <c r="E29" s="41"/>
      <c r="F29" s="41"/>
      <c r="G29" s="41"/>
      <c r="H29" s="41"/>
      <c r="I29" s="41"/>
      <c r="J29" s="75">
        <f>IFERROR((E29-D29)+(G29-F29)+(I29-H29)-#REF!,0)</f>
        <v>0</v>
      </c>
      <c r="K29" s="118">
        <v>0.5</v>
      </c>
      <c r="L29" s="77">
        <v>0.29166666666666702</v>
      </c>
      <c r="M29" s="76">
        <v>9</v>
      </c>
      <c r="N29" s="323"/>
      <c r="O29" s="324"/>
      <c r="P29" s="325"/>
      <c r="Q29" s="17"/>
      <c r="R29" s="41">
        <f t="shared" si="8"/>
        <v>0</v>
      </c>
      <c r="S29" s="41">
        <f t="shared" si="2"/>
        <v>0</v>
      </c>
      <c r="T29" s="41">
        <f t="shared" si="3"/>
        <v>0</v>
      </c>
      <c r="U29" s="41">
        <f t="shared" si="4"/>
        <v>0</v>
      </c>
      <c r="V29" s="41">
        <f t="shared" si="5"/>
        <v>0</v>
      </c>
      <c r="W29" s="41">
        <f t="shared" si="6"/>
        <v>0</v>
      </c>
      <c r="X29" s="41">
        <f t="shared" si="7"/>
        <v>0</v>
      </c>
      <c r="Y29" s="129"/>
      <c r="Z29" s="114"/>
    </row>
    <row r="30" spans="1:26">
      <c r="A30" s="42">
        <f t="shared" si="9"/>
        <v>44359</v>
      </c>
      <c r="B30" s="20" t="e">
        <f>VLOOKUP($A30,Datas!$B:$E,4,0)</f>
        <v>#N/A</v>
      </c>
      <c r="C30" s="39" t="str">
        <f t="array" ref="C30">TEXT(INDEX($A$12:$A$41,MATCH(Datas!A20&amp;Datas!C20&amp;Datas!D20,Datas!$A$2:$A$336&amp;Datas!$C$2:$C$336&amp;Datas!$D$2:$D$336,0)),"DDD")</f>
        <v>sex</v>
      </c>
      <c r="D30" s="41"/>
      <c r="E30" s="41"/>
      <c r="F30" s="41"/>
      <c r="G30" s="41"/>
      <c r="H30" s="41"/>
      <c r="I30" s="41"/>
      <c r="J30" s="75">
        <f>IFERROR((E30-D30)+(G30-F30)+(I30-H30)-#REF!,0)</f>
        <v>0</v>
      </c>
      <c r="K30" s="118">
        <v>0.5</v>
      </c>
      <c r="L30" s="77">
        <v>0.29166666666666702</v>
      </c>
      <c r="M30" s="76">
        <v>9</v>
      </c>
      <c r="N30" s="323"/>
      <c r="O30" s="324"/>
      <c r="P30" s="325"/>
      <c r="Q30" s="17"/>
      <c r="R30" s="41">
        <f t="shared" si="8"/>
        <v>0</v>
      </c>
      <c r="S30" s="41">
        <f t="shared" si="2"/>
        <v>0</v>
      </c>
      <c r="T30" s="41">
        <f t="shared" si="3"/>
        <v>0</v>
      </c>
      <c r="U30" s="41">
        <f t="shared" si="4"/>
        <v>0</v>
      </c>
      <c r="V30" s="41">
        <f t="shared" si="5"/>
        <v>0</v>
      </c>
      <c r="W30" s="41">
        <f t="shared" si="6"/>
        <v>0</v>
      </c>
      <c r="X30" s="41">
        <f t="shared" si="7"/>
        <v>0</v>
      </c>
      <c r="Y30" s="129"/>
      <c r="Z30" s="114"/>
    </row>
    <row r="31" spans="1:26">
      <c r="A31" s="42">
        <f t="shared" si="9"/>
        <v>44360</v>
      </c>
      <c r="B31" s="20" t="e">
        <f>VLOOKUP($A31,Datas!$B:$E,4,0)</f>
        <v>#N/A</v>
      </c>
      <c r="C31" s="39" t="str">
        <f t="array" ref="C31">TEXT(INDEX($A$12:$A$41,MATCH(Datas!A21&amp;Datas!C21&amp;Datas!D21,Datas!$A$2:$A$336&amp;Datas!$C$2:$C$336&amp;Datas!$D$2:$D$336,0)),"DDD")</f>
        <v>sáb</v>
      </c>
      <c r="D31" s="41"/>
      <c r="E31" s="41"/>
      <c r="F31" s="41"/>
      <c r="G31" s="41"/>
      <c r="H31" s="41"/>
      <c r="I31" s="41"/>
      <c r="J31" s="75">
        <f>IFERROR((E31-D31)+(G31-F31)+(I31-H31)-#REF!,0)</f>
        <v>0</v>
      </c>
      <c r="K31" s="118">
        <v>0.5</v>
      </c>
      <c r="L31" s="77">
        <v>0.29166666666666702</v>
      </c>
      <c r="M31" s="76">
        <v>9</v>
      </c>
      <c r="N31" s="323"/>
      <c r="O31" s="324"/>
      <c r="P31" s="325"/>
      <c r="Q31" s="17"/>
      <c r="R31" s="41">
        <f t="shared" si="8"/>
        <v>0</v>
      </c>
      <c r="S31" s="41">
        <f t="shared" si="2"/>
        <v>0</v>
      </c>
      <c r="T31" s="41">
        <f t="shared" si="3"/>
        <v>0</v>
      </c>
      <c r="U31" s="41">
        <f t="shared" si="4"/>
        <v>0</v>
      </c>
      <c r="V31" s="41">
        <f t="shared" si="5"/>
        <v>0</v>
      </c>
      <c r="W31" s="41">
        <f t="shared" si="6"/>
        <v>0</v>
      </c>
      <c r="X31" s="41">
        <f t="shared" si="7"/>
        <v>0</v>
      </c>
      <c r="Y31" s="129"/>
      <c r="Z31" s="114"/>
    </row>
    <row r="32" spans="1:26">
      <c r="A32" s="42">
        <f t="shared" si="9"/>
        <v>44361</v>
      </c>
      <c r="B32" s="20" t="e">
        <f>VLOOKUP($A32,Datas!$B:$E,4,0)</f>
        <v>#N/A</v>
      </c>
      <c r="C32" s="39" t="str">
        <f t="array" ref="C32">TEXT(INDEX($A$12:$A$41,MATCH(Datas!A22&amp;Datas!C22&amp;Datas!D22,Datas!$A$2:$A$336&amp;Datas!$C$2:$C$336&amp;Datas!$D$2:$D$336,0)),"DDD")</f>
        <v>dom</v>
      </c>
      <c r="D32" s="41"/>
      <c r="E32" s="41"/>
      <c r="F32" s="41"/>
      <c r="G32" s="41"/>
      <c r="H32" s="41"/>
      <c r="I32" s="41"/>
      <c r="J32" s="75">
        <f>IFERROR((E32-D32)+(G32-F32)+(I32-H32)-#REF!,0)</f>
        <v>0</v>
      </c>
      <c r="K32" s="118">
        <v>0.5</v>
      </c>
      <c r="L32" s="77">
        <v>0.29166666666666702</v>
      </c>
      <c r="M32" s="76">
        <v>9</v>
      </c>
      <c r="N32" s="323"/>
      <c r="O32" s="324"/>
      <c r="P32" s="325"/>
      <c r="Q32" s="17"/>
      <c r="R32" s="41">
        <f t="shared" si="8"/>
        <v>0</v>
      </c>
      <c r="S32" s="41">
        <f t="shared" si="2"/>
        <v>0</v>
      </c>
      <c r="T32" s="41">
        <f t="shared" si="3"/>
        <v>0</v>
      </c>
      <c r="U32" s="41">
        <f t="shared" si="4"/>
        <v>0</v>
      </c>
      <c r="V32" s="41">
        <f t="shared" si="5"/>
        <v>0</v>
      </c>
      <c r="W32" s="41">
        <f t="shared" si="6"/>
        <v>0</v>
      </c>
      <c r="X32" s="41">
        <f t="shared" si="7"/>
        <v>0</v>
      </c>
      <c r="Y32" s="129"/>
      <c r="Z32" s="114"/>
    </row>
    <row r="33" spans="1:27">
      <c r="A33" s="42">
        <f t="shared" si="9"/>
        <v>44362</v>
      </c>
      <c r="B33" s="20" t="e">
        <f>VLOOKUP($A33,Datas!$B:$E,4,0)</f>
        <v>#N/A</v>
      </c>
      <c r="C33" s="39" t="str">
        <f t="array" ref="C33">TEXT(INDEX($A$12:$A$41,MATCH(Datas!A23&amp;Datas!C23&amp;Datas!D23,Datas!$A$2:$A$336&amp;Datas!$C$2:$C$336&amp;Datas!$D$2:$D$336,0)),"DDD")</f>
        <v>seg</v>
      </c>
      <c r="D33" s="41"/>
      <c r="E33" s="41"/>
      <c r="F33" s="41"/>
      <c r="G33" s="41"/>
      <c r="H33" s="41"/>
      <c r="I33" s="41"/>
      <c r="J33" s="75">
        <f>IFERROR((E33-D33)+(G33-F33)+(I33-H33)-#REF!,0)</f>
        <v>0</v>
      </c>
      <c r="K33" s="118">
        <v>0</v>
      </c>
      <c r="L33" s="77">
        <f t="shared" si="0"/>
        <v>0</v>
      </c>
      <c r="M33" s="76">
        <f t="shared" si="1"/>
        <v>0</v>
      </c>
      <c r="N33" s="323"/>
      <c r="O33" s="324"/>
      <c r="P33" s="325"/>
      <c r="Q33" s="17"/>
      <c r="R33" s="41">
        <f t="shared" si="8"/>
        <v>0</v>
      </c>
      <c r="S33" s="41">
        <f t="shared" si="2"/>
        <v>0</v>
      </c>
      <c r="T33" s="41">
        <f t="shared" si="3"/>
        <v>0</v>
      </c>
      <c r="U33" s="41">
        <f t="shared" si="4"/>
        <v>0</v>
      </c>
      <c r="V33" s="41">
        <f t="shared" si="5"/>
        <v>0</v>
      </c>
      <c r="W33" s="41">
        <f t="shared" si="6"/>
        <v>0</v>
      </c>
      <c r="X33" s="41">
        <f t="shared" si="7"/>
        <v>0</v>
      </c>
      <c r="Y33" s="129"/>
      <c r="Z33" s="114"/>
    </row>
    <row r="34" spans="1:27">
      <c r="A34" s="42">
        <f t="shared" si="9"/>
        <v>44363</v>
      </c>
      <c r="B34" s="20" t="e">
        <f>VLOOKUP($A34,Datas!$B:$E,4,0)</f>
        <v>#N/A</v>
      </c>
      <c r="C34" s="39" t="str">
        <f t="array" ref="C34">TEXT(INDEX($A$12:$A$41,MATCH(Datas!A24&amp;Datas!C24&amp;Datas!D24,Datas!$A$2:$A$336&amp;Datas!$C$2:$C$336&amp;Datas!$D$2:$D$336,0)),"DDD")</f>
        <v>ter</v>
      </c>
      <c r="D34" s="41"/>
      <c r="E34" s="41"/>
      <c r="F34" s="41"/>
      <c r="G34" s="41"/>
      <c r="H34" s="41"/>
      <c r="I34" s="41"/>
      <c r="J34" s="75">
        <f>IFERROR((E34-D34)+(G34-F34)+(I34-H34)-#REF!,0)</f>
        <v>0</v>
      </c>
      <c r="K34" s="118">
        <v>0.29166666666666702</v>
      </c>
      <c r="L34" s="77">
        <v>0.25</v>
      </c>
      <c r="M34" s="76">
        <v>9</v>
      </c>
      <c r="N34" s="323"/>
      <c r="O34" s="324"/>
      <c r="P34" s="325"/>
      <c r="Q34" s="17"/>
      <c r="R34" s="41">
        <f t="shared" si="8"/>
        <v>0</v>
      </c>
      <c r="S34" s="41">
        <f t="shared" si="2"/>
        <v>0</v>
      </c>
      <c r="T34" s="41">
        <f t="shared" si="3"/>
        <v>0</v>
      </c>
      <c r="U34" s="41">
        <f t="shared" si="4"/>
        <v>0</v>
      </c>
      <c r="V34" s="41">
        <f t="shared" si="5"/>
        <v>0</v>
      </c>
      <c r="W34" s="41">
        <f t="shared" si="6"/>
        <v>0</v>
      </c>
      <c r="X34" s="41">
        <f t="shared" si="7"/>
        <v>0</v>
      </c>
      <c r="Y34" s="129"/>
      <c r="Z34" s="114"/>
    </row>
    <row r="35" spans="1:27">
      <c r="A35" s="42">
        <f t="shared" si="9"/>
        <v>44364</v>
      </c>
      <c r="B35" s="20" t="e">
        <f>VLOOKUP($A35,Datas!$B:$E,4,0)</f>
        <v>#N/A</v>
      </c>
      <c r="C35" s="39" t="str">
        <f t="array" ref="C35">TEXT(INDEX($A$12:$A$41,MATCH(Datas!A25&amp;Datas!C25&amp;Datas!D25,Datas!$A$2:$A$336&amp;Datas!$C$2:$C$336&amp;Datas!$D$2:$D$336,0)),"DDD")</f>
        <v>qua</v>
      </c>
      <c r="D35" s="41"/>
      <c r="E35" s="41"/>
      <c r="F35" s="41"/>
      <c r="G35" s="41"/>
      <c r="H35" s="41"/>
      <c r="I35" s="41"/>
      <c r="J35" s="75">
        <f>IFERROR((E35-D35)+(G35-F35)+(I35-H35)-#REF!,0)</f>
        <v>0</v>
      </c>
      <c r="K35" s="118">
        <v>0.5</v>
      </c>
      <c r="L35" s="77">
        <v>0.29166666666666702</v>
      </c>
      <c r="M35" s="76">
        <v>9</v>
      </c>
      <c r="N35" s="323"/>
      <c r="O35" s="324"/>
      <c r="P35" s="325"/>
      <c r="Q35" s="17"/>
      <c r="R35" s="41">
        <f t="shared" si="8"/>
        <v>0</v>
      </c>
      <c r="S35" s="41">
        <f t="shared" si="2"/>
        <v>0</v>
      </c>
      <c r="T35" s="41">
        <f t="shared" si="3"/>
        <v>0</v>
      </c>
      <c r="U35" s="41">
        <f t="shared" si="4"/>
        <v>0</v>
      </c>
      <c r="V35" s="41">
        <f t="shared" si="5"/>
        <v>0</v>
      </c>
      <c r="W35" s="41">
        <f t="shared" si="6"/>
        <v>0</v>
      </c>
      <c r="X35" s="41">
        <f t="shared" si="7"/>
        <v>0</v>
      </c>
      <c r="Y35" s="129"/>
      <c r="Z35" s="114"/>
    </row>
    <row r="36" spans="1:27">
      <c r="A36" s="42">
        <f t="shared" si="9"/>
        <v>44365</v>
      </c>
      <c r="B36" s="20" t="e">
        <f>VLOOKUP($A36,Datas!$B:$E,4,0)</f>
        <v>#N/A</v>
      </c>
      <c r="C36" s="39" t="str">
        <f t="array" ref="C36">TEXT(INDEX($A$12:$A$41,MATCH(Datas!A26&amp;Datas!C26&amp;Datas!D26,Datas!$A$2:$A$336&amp;Datas!$C$2:$C$336&amp;Datas!$D$2:$D$336,0)),"DDD")</f>
        <v>qui</v>
      </c>
      <c r="D36" s="41"/>
      <c r="E36" s="41"/>
      <c r="F36" s="41"/>
      <c r="G36" s="41"/>
      <c r="H36" s="41"/>
      <c r="I36" s="41"/>
      <c r="J36" s="75">
        <f>IFERROR((E36-D36)+(G36-F36)+(I36-H36)-#REF!,0)</f>
        <v>0</v>
      </c>
      <c r="K36" s="118">
        <v>0.5</v>
      </c>
      <c r="L36" s="77">
        <v>0.29166666666666702</v>
      </c>
      <c r="M36" s="76">
        <v>9</v>
      </c>
      <c r="N36" s="323"/>
      <c r="O36" s="324"/>
      <c r="P36" s="325"/>
      <c r="Q36" s="17"/>
      <c r="R36" s="41">
        <f t="shared" si="8"/>
        <v>0</v>
      </c>
      <c r="S36" s="41">
        <f t="shared" si="2"/>
        <v>0</v>
      </c>
      <c r="T36" s="41">
        <f t="shared" si="3"/>
        <v>0</v>
      </c>
      <c r="U36" s="41">
        <f t="shared" si="4"/>
        <v>0</v>
      </c>
      <c r="V36" s="41">
        <f t="shared" si="5"/>
        <v>0</v>
      </c>
      <c r="W36" s="41">
        <f t="shared" si="6"/>
        <v>0</v>
      </c>
      <c r="X36" s="41">
        <f t="shared" si="7"/>
        <v>0</v>
      </c>
      <c r="Y36" s="129"/>
      <c r="Z36" s="114"/>
    </row>
    <row r="37" spans="1:27">
      <c r="A37" s="42">
        <f t="shared" si="9"/>
        <v>44366</v>
      </c>
      <c r="B37" s="20" t="e">
        <f>VLOOKUP($A37,Datas!$B:$E,4,0)</f>
        <v>#N/A</v>
      </c>
      <c r="C37" s="39" t="str">
        <f t="array" ref="C37">TEXT(INDEX($A$12:$A$41,MATCH(Datas!A27&amp;Datas!C27&amp;Datas!D27,Datas!$A$2:$A$336&amp;Datas!$C$2:$C$336&amp;Datas!$D$2:$D$336,0)),"DDD")</f>
        <v>sex</v>
      </c>
      <c r="D37" s="41"/>
      <c r="E37" s="41"/>
      <c r="F37" s="41"/>
      <c r="G37" s="41"/>
      <c r="H37" s="41"/>
      <c r="I37" s="41"/>
      <c r="J37" s="75">
        <f>IFERROR((E37-D37)+(G37-F37)+(I37-H37)-#REF!,0)</f>
        <v>0</v>
      </c>
      <c r="K37" s="118">
        <v>0.5</v>
      </c>
      <c r="L37" s="77">
        <v>0.29166666666666702</v>
      </c>
      <c r="M37" s="76">
        <v>9</v>
      </c>
      <c r="N37" s="323"/>
      <c r="O37" s="324"/>
      <c r="P37" s="325"/>
      <c r="Q37" s="17"/>
      <c r="R37" s="41">
        <f t="shared" si="8"/>
        <v>0</v>
      </c>
      <c r="S37" s="41">
        <f t="shared" si="2"/>
        <v>0</v>
      </c>
      <c r="T37" s="41">
        <f t="shared" si="3"/>
        <v>0</v>
      </c>
      <c r="U37" s="41">
        <f t="shared" si="4"/>
        <v>0</v>
      </c>
      <c r="V37" s="41">
        <f t="shared" si="5"/>
        <v>0</v>
      </c>
      <c r="W37" s="41">
        <f t="shared" si="6"/>
        <v>0</v>
      </c>
      <c r="X37" s="41">
        <f t="shared" si="7"/>
        <v>0</v>
      </c>
      <c r="Y37" s="129"/>
      <c r="Z37" s="114"/>
    </row>
    <row r="38" spans="1:27">
      <c r="A38" s="42">
        <f t="shared" si="9"/>
        <v>44367</v>
      </c>
      <c r="B38" s="20" t="e">
        <f>VLOOKUP($A38,Datas!$B:$E,4,0)</f>
        <v>#N/A</v>
      </c>
      <c r="C38" s="39" t="str">
        <f t="array" ref="C38">TEXT(INDEX($A$12:$A$41,MATCH(Datas!A28&amp;Datas!C28&amp;Datas!D28,Datas!$A$2:$A$336&amp;Datas!$C$2:$C$336&amp;Datas!$D$2:$D$336,0)),"DDD")</f>
        <v>sáb</v>
      </c>
      <c r="D38" s="41"/>
      <c r="E38" s="41"/>
      <c r="F38" s="41"/>
      <c r="G38" s="41"/>
      <c r="H38" s="41"/>
      <c r="I38" s="41"/>
      <c r="J38" s="75">
        <f>IFERROR((E38-D38)+(G38-F38)+(I38-H38)-#REF!,0)</f>
        <v>0</v>
      </c>
      <c r="K38" s="118">
        <v>0.5</v>
      </c>
      <c r="L38" s="77">
        <v>0.29166666666666702</v>
      </c>
      <c r="M38" s="76">
        <v>9</v>
      </c>
      <c r="N38" s="323"/>
      <c r="O38" s="324"/>
      <c r="P38" s="325"/>
      <c r="Q38" s="17"/>
      <c r="R38" s="41">
        <f t="shared" si="8"/>
        <v>0</v>
      </c>
      <c r="S38" s="41">
        <f t="shared" si="2"/>
        <v>0</v>
      </c>
      <c r="T38" s="41">
        <f t="shared" si="3"/>
        <v>0</v>
      </c>
      <c r="U38" s="41">
        <f t="shared" si="4"/>
        <v>0</v>
      </c>
      <c r="V38" s="41">
        <f t="shared" si="5"/>
        <v>0</v>
      </c>
      <c r="W38" s="41">
        <f t="shared" si="6"/>
        <v>0</v>
      </c>
      <c r="X38" s="41">
        <f t="shared" si="7"/>
        <v>0</v>
      </c>
      <c r="Y38" s="129"/>
      <c r="Z38" s="114"/>
    </row>
    <row r="39" spans="1:27">
      <c r="A39" s="42">
        <f t="shared" si="9"/>
        <v>44368</v>
      </c>
      <c r="B39" s="20" t="e">
        <f>VLOOKUP($A39,Datas!$B:$E,4,0)</f>
        <v>#N/A</v>
      </c>
      <c r="C39" s="39" t="str">
        <f t="array" ref="C39">TEXT(INDEX($A$12:$A$41,MATCH(Datas!A29&amp;Datas!C29&amp;Datas!D29,Datas!$A$2:$A$336&amp;Datas!$C$2:$C$336&amp;Datas!$D$2:$D$336,0)),"DDD")</f>
        <v>dom</v>
      </c>
      <c r="D39" s="41"/>
      <c r="E39" s="41"/>
      <c r="F39" s="41"/>
      <c r="G39" s="41"/>
      <c r="H39" s="41"/>
      <c r="I39" s="41"/>
      <c r="J39" s="75">
        <f>IFERROR((E39-D39)+(G39-F39)+(I39-H39)-#REF!,0)</f>
        <v>0</v>
      </c>
      <c r="K39" s="118">
        <v>0.5</v>
      </c>
      <c r="L39" s="77">
        <v>0.29166666666666702</v>
      </c>
      <c r="M39" s="76">
        <v>9</v>
      </c>
      <c r="N39" s="323"/>
      <c r="O39" s="324"/>
      <c r="P39" s="325"/>
      <c r="Q39" s="17"/>
      <c r="R39" s="41">
        <f t="shared" si="8"/>
        <v>0</v>
      </c>
      <c r="S39" s="41">
        <f t="shared" si="2"/>
        <v>0</v>
      </c>
      <c r="T39" s="41">
        <f t="shared" si="3"/>
        <v>0</v>
      </c>
      <c r="U39" s="41">
        <f t="shared" si="4"/>
        <v>0</v>
      </c>
      <c r="V39" s="41">
        <f t="shared" si="5"/>
        <v>0</v>
      </c>
      <c r="W39" s="41">
        <f t="shared" si="6"/>
        <v>0</v>
      </c>
      <c r="X39" s="41">
        <f t="shared" si="7"/>
        <v>0</v>
      </c>
      <c r="Y39" s="129"/>
      <c r="Z39" s="114"/>
    </row>
    <row r="40" spans="1:27">
      <c r="A40" s="42">
        <f t="shared" si="9"/>
        <v>44369</v>
      </c>
      <c r="B40" s="20" t="e">
        <f>VLOOKUP($A40,Datas!$B:$E,4,0)</f>
        <v>#N/A</v>
      </c>
      <c r="C40" s="39" t="str">
        <f t="array" ref="C40">TEXT(INDEX($A$12:$A$41,MATCH(Datas!A30&amp;Datas!C30&amp;Datas!D30,Datas!$A$2:$A$336&amp;Datas!$C$2:$C$336&amp;Datas!$D$2:$D$336,0)),"DDD")</f>
        <v>seg</v>
      </c>
      <c r="D40" s="41"/>
      <c r="E40" s="41"/>
      <c r="F40" s="41"/>
      <c r="G40" s="41"/>
      <c r="H40" s="41"/>
      <c r="I40" s="41"/>
      <c r="J40" s="75">
        <f>IFERROR((E40-D40)+(G40-F40)+(I40-H40)-#REF!,0)</f>
        <v>0</v>
      </c>
      <c r="K40" s="118">
        <v>0</v>
      </c>
      <c r="L40" s="77">
        <f t="shared" ref="L40" si="10">R40</f>
        <v>0</v>
      </c>
      <c r="M40" s="76">
        <f t="shared" ref="M40" si="11">IF(J40&gt;=0.01,9,0)</f>
        <v>0</v>
      </c>
      <c r="N40" s="323"/>
      <c r="O40" s="324"/>
      <c r="P40" s="325"/>
      <c r="Q40" s="17"/>
      <c r="R40" s="41">
        <f t="shared" si="8"/>
        <v>0</v>
      </c>
      <c r="S40" s="41">
        <f t="shared" si="2"/>
        <v>0</v>
      </c>
      <c r="T40" s="41">
        <f t="shared" si="3"/>
        <v>0</v>
      </c>
      <c r="U40" s="41">
        <f t="shared" si="4"/>
        <v>0</v>
      </c>
      <c r="V40" s="41">
        <f t="shared" si="5"/>
        <v>0</v>
      </c>
      <c r="W40" s="41">
        <f t="shared" si="6"/>
        <v>0</v>
      </c>
      <c r="X40" s="41">
        <f t="shared" si="7"/>
        <v>0</v>
      </c>
      <c r="Y40" s="129"/>
      <c r="Z40" s="114"/>
    </row>
    <row r="41" spans="1:27">
      <c r="A41" s="42">
        <f t="shared" si="9"/>
        <v>44370</v>
      </c>
      <c r="B41" s="20" t="e">
        <f>VLOOKUP($A41,Datas!$B:$E,4,0)</f>
        <v>#N/A</v>
      </c>
      <c r="C41" s="39" t="str">
        <f t="array" ref="C41">TEXT(INDEX($A$12:$A$41,MATCH(Datas!A31&amp;Datas!C31&amp;Datas!D31,Datas!$A$2:$A$336&amp;Datas!$C$2:$C$336&amp;Datas!$D$2:$D$336,0)),"DDD")</f>
        <v>ter</v>
      </c>
      <c r="D41" s="41"/>
      <c r="E41" s="41"/>
      <c r="F41" s="41"/>
      <c r="G41" s="41"/>
      <c r="H41" s="41"/>
      <c r="I41" s="41"/>
      <c r="J41" s="75">
        <f>IFERROR((E41-D41)+(G41-F41)+(I41-H41)-#REF!,0)</f>
        <v>0</v>
      </c>
      <c r="K41" s="118">
        <v>0.29166666666666702</v>
      </c>
      <c r="L41" s="77">
        <v>0.25</v>
      </c>
      <c r="M41" s="76">
        <v>9</v>
      </c>
      <c r="N41" s="323"/>
      <c r="O41" s="324"/>
      <c r="P41" s="325"/>
      <c r="Q41" s="17"/>
      <c r="R41" s="41">
        <f t="shared" si="8"/>
        <v>0</v>
      </c>
      <c r="S41" s="41">
        <f t="shared" si="2"/>
        <v>0</v>
      </c>
      <c r="T41" s="41">
        <f t="shared" si="3"/>
        <v>0</v>
      </c>
      <c r="U41" s="41">
        <f t="shared" si="4"/>
        <v>0</v>
      </c>
      <c r="V41" s="41">
        <f t="shared" si="5"/>
        <v>0</v>
      </c>
      <c r="W41" s="41">
        <f t="shared" si="6"/>
        <v>0</v>
      </c>
      <c r="X41" s="41">
        <f t="shared" si="7"/>
        <v>0</v>
      </c>
      <c r="Y41" s="129"/>
      <c r="Z41" s="114"/>
    </row>
    <row r="42" spans="1:27" ht="17.25">
      <c r="A42" s="223" t="s">
        <v>51</v>
      </c>
      <c r="B42" s="224"/>
      <c r="C42" s="224"/>
      <c r="D42" s="224"/>
      <c r="E42" s="224"/>
      <c r="F42" s="224"/>
      <c r="G42" s="224"/>
      <c r="H42" s="224"/>
      <c r="I42" s="224"/>
      <c r="J42" s="84">
        <f>SUM(J12:J41)</f>
        <v>0</v>
      </c>
      <c r="K42" s="84">
        <f>SUM(K12:K41)</f>
        <v>11.0555555555556</v>
      </c>
      <c r="L42" s="86">
        <f>SUM(L12:L41)</f>
        <v>6.9305555555555598</v>
      </c>
      <c r="M42" s="87">
        <f>SUM(M12:M41)</f>
        <v>216</v>
      </c>
      <c r="N42" s="226"/>
      <c r="O42" s="227"/>
      <c r="P42" s="228"/>
      <c r="Q42" s="17"/>
      <c r="R42" s="17"/>
      <c r="S42" s="17"/>
      <c r="T42" s="17"/>
      <c r="U42" s="17"/>
      <c r="V42" s="17"/>
      <c r="W42" s="17"/>
      <c r="X42" s="17"/>
      <c r="Y42" s="17"/>
      <c r="Z42" s="117"/>
    </row>
    <row r="43" spans="1:27">
      <c r="A43" s="33"/>
      <c r="B43" s="16"/>
      <c r="C43" s="17"/>
      <c r="D43" s="17"/>
      <c r="E43" s="17"/>
      <c r="F43" s="17"/>
      <c r="G43" s="17"/>
      <c r="H43" s="17"/>
      <c r="I43" s="17"/>
      <c r="J43" s="119">
        <v>9.1666666666666696</v>
      </c>
      <c r="K43" s="119"/>
      <c r="L43" s="17"/>
      <c r="M43" s="63"/>
      <c r="N43" s="17"/>
      <c r="O43" s="89"/>
      <c r="P43" s="17"/>
      <c r="Q43" s="253"/>
      <c r="R43" s="254"/>
      <c r="S43" s="254"/>
      <c r="T43" s="17"/>
      <c r="U43" s="17"/>
      <c r="V43" s="17"/>
      <c r="W43" s="17"/>
      <c r="X43" s="17"/>
      <c r="Y43" s="17"/>
      <c r="Z43" s="17"/>
      <c r="AA43" s="17"/>
    </row>
    <row r="44" spans="1:27">
      <c r="A44" s="255" t="s">
        <v>52</v>
      </c>
      <c r="B44" s="256"/>
      <c r="C44" s="257"/>
      <c r="D44" s="262"/>
      <c r="E44" s="265" t="s">
        <v>53</v>
      </c>
      <c r="F44" s="265"/>
      <c r="G44" s="265"/>
      <c r="H44" s="265"/>
      <c r="I44" s="265"/>
      <c r="J44" s="265"/>
      <c r="K44" s="265"/>
      <c r="L44" s="265"/>
      <c r="M44" s="255" t="s">
        <v>54</v>
      </c>
      <c r="N44" s="265"/>
      <c r="O44" s="265"/>
      <c r="P44" s="267"/>
      <c r="Q44" s="253"/>
      <c r="R44" s="254"/>
      <c r="S44" s="254"/>
      <c r="T44" s="17"/>
      <c r="U44" s="17"/>
      <c r="V44" s="17"/>
      <c r="W44" s="17"/>
      <c r="X44" s="17"/>
      <c r="Y44" s="17"/>
      <c r="Z44" s="17"/>
      <c r="AA44" s="17"/>
    </row>
    <row r="45" spans="1:27">
      <c r="A45" s="258"/>
      <c r="B45" s="259"/>
      <c r="C45" s="260"/>
      <c r="D45" s="264"/>
      <c r="E45" s="266"/>
      <c r="F45" s="266"/>
      <c r="G45" s="266"/>
      <c r="H45" s="266"/>
      <c r="I45" s="266"/>
      <c r="J45" s="266"/>
      <c r="K45" s="266"/>
      <c r="L45" s="266"/>
      <c r="M45" s="268"/>
      <c r="N45" s="269"/>
      <c r="O45" s="269"/>
      <c r="P45" s="270"/>
      <c r="Q45" s="253"/>
      <c r="R45" s="254"/>
      <c r="S45" s="254"/>
      <c r="T45" s="17"/>
      <c r="U45" s="17"/>
      <c r="V45" s="17"/>
      <c r="W45" s="17"/>
      <c r="X45" s="17"/>
      <c r="Y45" s="17"/>
      <c r="Z45" s="17"/>
      <c r="AA45" s="17"/>
    </row>
    <row r="46" spans="1:27">
      <c r="A46" s="49"/>
      <c r="B46" s="50"/>
      <c r="C46" s="51"/>
      <c r="D46" s="51"/>
      <c r="E46" s="47"/>
      <c r="F46" s="45"/>
      <c r="G46" s="45"/>
      <c r="H46" s="45"/>
      <c r="I46" s="45"/>
      <c r="J46" s="45"/>
      <c r="K46" s="45"/>
      <c r="L46" s="52"/>
      <c r="M46" s="209"/>
      <c r="N46" s="253"/>
      <c r="O46" s="253"/>
      <c r="P46" s="271"/>
      <c r="Q46" s="209"/>
      <c r="R46" s="253"/>
      <c r="S46" s="253"/>
      <c r="T46" s="17"/>
      <c r="U46" s="17"/>
      <c r="V46" s="17"/>
      <c r="W46" s="17"/>
      <c r="X46" s="17"/>
      <c r="Y46" s="17"/>
      <c r="Z46" s="17"/>
      <c r="AA46" s="17"/>
    </row>
    <row r="47" spans="1:27">
      <c r="A47" s="255" t="s">
        <v>55</v>
      </c>
      <c r="B47" s="265"/>
      <c r="C47" s="267"/>
      <c r="D47" s="277"/>
      <c r="E47" s="207" t="s">
        <v>56</v>
      </c>
      <c r="F47" s="279"/>
      <c r="G47" s="90"/>
      <c r="H47" s="280">
        <f>COUNTIF($D$12:$D$41,"SUSPENSÃO")</f>
        <v>0</v>
      </c>
      <c r="I47" s="281"/>
      <c r="J47" s="208"/>
      <c r="K47" s="208"/>
      <c r="L47" s="284">
        <f>COUNTIF($D$12:$D$41,"ADVERTENCIA")</f>
        <v>0</v>
      </c>
      <c r="M47" s="272"/>
      <c r="N47" s="273"/>
      <c r="O47" s="273"/>
      <c r="P47" s="274"/>
      <c r="Q47" s="209"/>
      <c r="R47" s="253"/>
      <c r="S47" s="253"/>
      <c r="T47" s="17"/>
      <c r="U47" s="17"/>
      <c r="V47" s="17"/>
      <c r="W47" s="17"/>
      <c r="X47" s="17"/>
      <c r="Y47" s="17"/>
      <c r="Z47" s="17"/>
      <c r="AA47" s="17"/>
    </row>
    <row r="48" spans="1:27">
      <c r="A48" s="275"/>
      <c r="B48" s="266"/>
      <c r="C48" s="276"/>
      <c r="D48" s="278"/>
      <c r="E48" s="272"/>
      <c r="F48" s="274"/>
      <c r="G48" s="90"/>
      <c r="H48" s="282"/>
      <c r="I48" s="283"/>
      <c r="J48" s="273"/>
      <c r="K48" s="273"/>
      <c r="L48" s="285"/>
      <c r="M48" s="292" t="s">
        <v>58</v>
      </c>
      <c r="N48" s="253"/>
      <c r="O48" s="253"/>
      <c r="P48" s="293"/>
      <c r="Q48" s="253" t="s">
        <v>59</v>
      </c>
      <c r="R48" s="254"/>
      <c r="S48" s="254"/>
      <c r="T48" s="17"/>
      <c r="U48" s="17"/>
      <c r="V48" s="17"/>
      <c r="W48" s="17"/>
      <c r="X48" s="17"/>
      <c r="Y48" s="17"/>
      <c r="Z48" s="17"/>
      <c r="AA48" s="17"/>
    </row>
    <row r="49" spans="1:27">
      <c r="A49" s="33"/>
      <c r="B49" s="16"/>
      <c r="C49" s="17"/>
      <c r="D49" s="17"/>
      <c r="E49" s="17"/>
      <c r="F49" s="17"/>
      <c r="G49" s="17"/>
      <c r="H49" s="17"/>
      <c r="I49" s="20" t="s">
        <v>60</v>
      </c>
      <c r="J49" s="16" t="s">
        <v>61</v>
      </c>
      <c r="K49" s="16"/>
      <c r="L49" s="17"/>
      <c r="M49" s="268"/>
      <c r="N49" s="269"/>
      <c r="O49" s="269"/>
      <c r="P49" s="270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ht="17.25">
      <c r="A50" s="53" t="s">
        <v>62</v>
      </c>
      <c r="B50" s="54"/>
      <c r="C50" s="45"/>
      <c r="D50" s="45"/>
      <c r="E50" s="45"/>
      <c r="F50" s="46"/>
      <c r="G50" s="46"/>
      <c r="H50" s="286">
        <f>(J42-J43)*40%</f>
        <v>-3.6666666666666701</v>
      </c>
      <c r="I50" s="287"/>
      <c r="J50" s="120"/>
      <c r="K50" s="120"/>
      <c r="L50" s="92" t="e">
        <f>#REF!*#REF!</f>
        <v>#REF!</v>
      </c>
      <c r="M50" s="209"/>
      <c r="N50" s="253"/>
      <c r="O50" s="253"/>
      <c r="P50" s="271"/>
      <c r="Q50" s="17"/>
      <c r="R50" s="17"/>
      <c r="S50" s="17"/>
      <c r="T50" s="17"/>
      <c r="U50" s="17"/>
      <c r="V50" s="17"/>
      <c r="W50" s="17"/>
      <c r="X50" s="17"/>
      <c r="Y50" s="17"/>
    </row>
    <row r="51" spans="1:27" ht="17.25">
      <c r="A51" s="56" t="s">
        <v>63</v>
      </c>
      <c r="B51" s="16"/>
      <c r="C51" s="17"/>
      <c r="D51" s="17"/>
      <c r="E51" s="17"/>
      <c r="F51" s="57"/>
      <c r="G51" s="57"/>
      <c r="H51" s="290" t="e">
        <f>COUNTIFS($B$12:$B$41,$I$49,#REF!,"38,00")</f>
        <v>#REF!</v>
      </c>
      <c r="I51" s="291"/>
      <c r="J51" s="121"/>
      <c r="K51" s="122"/>
      <c r="L51" s="92" t="e">
        <f>SUM(#REF!)</f>
        <v>#REF!</v>
      </c>
      <c r="M51" s="272"/>
      <c r="N51" s="273"/>
      <c r="O51" s="273"/>
      <c r="P51" s="274"/>
      <c r="Q51" s="17"/>
      <c r="R51" s="17"/>
      <c r="S51" s="17"/>
      <c r="T51" s="17"/>
      <c r="U51" s="17"/>
      <c r="V51" s="17"/>
      <c r="W51" s="17"/>
      <c r="X51" s="17"/>
      <c r="Y51" s="17"/>
    </row>
    <row r="52" spans="1:27" ht="17.25">
      <c r="A52" s="56" t="s">
        <v>64</v>
      </c>
      <c r="B52" s="16"/>
      <c r="C52" s="17"/>
      <c r="D52" s="17"/>
      <c r="E52" s="17"/>
      <c r="F52" s="57"/>
      <c r="G52" s="57"/>
      <c r="H52" s="294">
        <f>COUNTIFS(M12:M41,"&lt;&gt;"&amp;"",M12:M41,"&lt;&gt;"&amp;0)</f>
        <v>24</v>
      </c>
      <c r="I52" s="295"/>
      <c r="J52" s="27"/>
      <c r="K52" s="27"/>
      <c r="L52" s="93">
        <f>M42</f>
        <v>216</v>
      </c>
      <c r="M52" s="292" t="s">
        <v>65</v>
      </c>
      <c r="N52" s="253"/>
      <c r="O52" s="253"/>
      <c r="P52" s="293"/>
      <c r="Q52" s="17"/>
      <c r="R52" s="17"/>
      <c r="S52" s="17"/>
      <c r="T52" s="17"/>
      <c r="U52" s="17"/>
      <c r="V52" s="17"/>
      <c r="W52" s="17"/>
      <c r="X52" s="17"/>
      <c r="Y52" s="17"/>
    </row>
    <row r="53" spans="1:27" ht="17.25">
      <c r="A53" s="60" t="s">
        <v>66</v>
      </c>
      <c r="B53" s="61"/>
      <c r="C53" s="23"/>
      <c r="D53" s="23"/>
      <c r="E53" s="23"/>
      <c r="F53" s="48"/>
      <c r="G53" s="48"/>
      <c r="H53" s="296">
        <f>L42</f>
        <v>6.9305555555555598</v>
      </c>
      <c r="I53" s="297"/>
      <c r="J53" s="123"/>
      <c r="K53" s="123"/>
      <c r="L53" s="124">
        <f>L42</f>
        <v>6.9305555555555598</v>
      </c>
      <c r="M53" s="275"/>
      <c r="N53" s="266"/>
      <c r="O53" s="266"/>
      <c r="P53" s="276"/>
      <c r="Q53" s="17"/>
      <c r="R53" s="17"/>
      <c r="S53" s="17"/>
      <c r="T53" s="17"/>
      <c r="U53" s="17"/>
      <c r="V53" s="17"/>
      <c r="W53" s="17"/>
      <c r="X53" s="17"/>
      <c r="Y53" s="17"/>
    </row>
    <row r="54" spans="1:27">
      <c r="A54" s="19"/>
      <c r="B54" s="16"/>
      <c r="C54" s="17"/>
      <c r="D54" s="17"/>
      <c r="E54" s="17"/>
      <c r="F54" s="17"/>
      <c r="G54" s="17"/>
      <c r="H54" s="17"/>
      <c r="I54" s="63"/>
      <c r="J54" s="96"/>
      <c r="K54" s="96"/>
      <c r="L54" s="97"/>
      <c r="M54" s="2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spans="1:27">
      <c r="A55" s="300" t="s">
        <v>67</v>
      </c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2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1:27">
      <c r="A56" s="303"/>
      <c r="B56" s="304"/>
      <c r="C56" s="304"/>
      <c r="D56" s="304"/>
      <c r="E56" s="304"/>
      <c r="F56" s="304"/>
      <c r="G56" s="304"/>
      <c r="H56" s="304"/>
      <c r="I56" s="304"/>
      <c r="J56" s="304"/>
      <c r="K56" s="304"/>
      <c r="L56" s="304"/>
      <c r="M56" s="304"/>
      <c r="N56" s="304"/>
      <c r="O56" s="304"/>
      <c r="P56" s="305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1:27">
      <c r="A57" s="303"/>
      <c r="B57" s="304"/>
      <c r="C57" s="304"/>
      <c r="D57" s="304"/>
      <c r="E57" s="304"/>
      <c r="F57" s="304"/>
      <c r="G57" s="304"/>
      <c r="H57" s="304"/>
      <c r="I57" s="304"/>
      <c r="J57" s="304"/>
      <c r="K57" s="304"/>
      <c r="L57" s="304"/>
      <c r="M57" s="304"/>
      <c r="N57" s="304"/>
      <c r="O57" s="304"/>
      <c r="P57" s="305"/>
      <c r="Q57" s="64"/>
      <c r="R57" s="104"/>
      <c r="S57" s="105"/>
      <c r="T57" s="17"/>
      <c r="U57" s="17"/>
      <c r="V57" s="17"/>
      <c r="W57" s="17"/>
      <c r="X57" s="17"/>
      <c r="Y57" s="17"/>
      <c r="Z57" s="17"/>
      <c r="AA57" s="17"/>
    </row>
    <row r="58" spans="1:27">
      <c r="A58" s="306"/>
      <c r="B58" s="307"/>
      <c r="C58" s="307"/>
      <c r="D58" s="307"/>
      <c r="E58" s="307"/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8"/>
      <c r="Q58" s="64"/>
      <c r="R58" s="64"/>
      <c r="S58" s="106"/>
      <c r="T58" s="17"/>
      <c r="U58" s="17"/>
      <c r="V58" s="17"/>
      <c r="W58" s="17"/>
      <c r="X58" s="17"/>
      <c r="Y58" s="17"/>
      <c r="Z58" s="17"/>
      <c r="AA58" s="17"/>
    </row>
    <row r="59" spans="1:27">
      <c r="A59" s="64"/>
      <c r="B59" s="65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106"/>
      <c r="T59" s="17"/>
      <c r="U59" s="17"/>
      <c r="V59" s="17"/>
      <c r="W59" s="17"/>
      <c r="X59" s="17"/>
      <c r="Y59" s="17"/>
      <c r="Z59" s="17"/>
      <c r="AA59" s="17"/>
    </row>
    <row r="60" spans="1:27">
      <c r="A60" s="17"/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1:27">
      <c r="A61" s="17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1:27">
      <c r="A62" s="17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1:27">
      <c r="A63" s="17"/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1:27">
      <c r="A64" s="17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1:27">
      <c r="A65" s="17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1:27">
      <c r="A66" s="17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1:27">
      <c r="A67" s="17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1:27">
      <c r="A68" s="17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1:27">
      <c r="A69" s="17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1:27">
      <c r="A70" s="17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1:27">
      <c r="A71" s="17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1:27">
      <c r="A72" s="17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1:27">
      <c r="A73" s="17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1:27">
      <c r="A74" s="17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1:27">
      <c r="A75" s="17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1:27">
      <c r="A76" s="17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1:27">
      <c r="A77" s="17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1:27">
      <c r="A78" s="17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1:27">
      <c r="A79" s="17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1:27">
      <c r="A80" s="17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1:27">
      <c r="A81" s="17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1:27">
      <c r="A82" s="17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1:27">
      <c r="A83" s="17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1:27">
      <c r="A84" s="17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1:27">
      <c r="A85" s="17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1:27">
      <c r="A86" s="17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1:27">
      <c r="A87" s="17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spans="1:27">
      <c r="A88" s="17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spans="1:27">
      <c r="A89" s="17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spans="1:27">
      <c r="A90" s="17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spans="1:27">
      <c r="A91" s="17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spans="1:27">
      <c r="A92" s="17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spans="1:27">
      <c r="A93" s="17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spans="1:27">
      <c r="A94" s="17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spans="1:27">
      <c r="A95" s="17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spans="1:27">
      <c r="A96" s="17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>
      <c r="A97" s="17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spans="1:27">
      <c r="A98" s="17"/>
      <c r="B98" s="16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spans="1:27">
      <c r="A99" s="17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</sheetData>
  <mergeCells count="73">
    <mergeCell ref="D1:E1"/>
    <mergeCell ref="D3:E3"/>
    <mergeCell ref="D4:E4"/>
    <mergeCell ref="E10:F10"/>
    <mergeCell ref="G10:H10"/>
    <mergeCell ref="N12:P12"/>
    <mergeCell ref="N13:P13"/>
    <mergeCell ref="N14:P14"/>
    <mergeCell ref="N15:P15"/>
    <mergeCell ref="N16:P16"/>
    <mergeCell ref="N18:P18"/>
    <mergeCell ref="N19:P19"/>
    <mergeCell ref="N20:P20"/>
    <mergeCell ref="N21:P21"/>
    <mergeCell ref="N23:P23"/>
    <mergeCell ref="N24:P24"/>
    <mergeCell ref="N25:P25"/>
    <mergeCell ref="N26:P26"/>
    <mergeCell ref="N27:P27"/>
    <mergeCell ref="N28:P28"/>
    <mergeCell ref="N29:P29"/>
    <mergeCell ref="N30:P30"/>
    <mergeCell ref="N31:P31"/>
    <mergeCell ref="N32:P32"/>
    <mergeCell ref="N33:P33"/>
    <mergeCell ref="N34:P34"/>
    <mergeCell ref="N35:P35"/>
    <mergeCell ref="N36:P36"/>
    <mergeCell ref="N37:P37"/>
    <mergeCell ref="N38:P38"/>
    <mergeCell ref="Q43:S43"/>
    <mergeCell ref="M44:P44"/>
    <mergeCell ref="Q44:S44"/>
    <mergeCell ref="Q45:S45"/>
    <mergeCell ref="M48:P48"/>
    <mergeCell ref="Q48:S48"/>
    <mergeCell ref="Q46:S47"/>
    <mergeCell ref="A55:P58"/>
    <mergeCell ref="M49:P51"/>
    <mergeCell ref="M52:P53"/>
    <mergeCell ref="H53:I53"/>
    <mergeCell ref="A10:A11"/>
    <mergeCell ref="C10:C11"/>
    <mergeCell ref="D10:D11"/>
    <mergeCell ref="D44:D45"/>
    <mergeCell ref="D47:D48"/>
    <mergeCell ref="A47:C48"/>
    <mergeCell ref="A44:C45"/>
    <mergeCell ref="N39:P39"/>
    <mergeCell ref="N40:P40"/>
    <mergeCell ref="N41:P41"/>
    <mergeCell ref="A42:I42"/>
    <mergeCell ref="N42:P42"/>
    <mergeCell ref="E44:L45"/>
    <mergeCell ref="M45:P47"/>
    <mergeCell ref="H50:I50"/>
    <mergeCell ref="H51:I51"/>
    <mergeCell ref="H52:I52"/>
    <mergeCell ref="E47:F48"/>
    <mergeCell ref="H47:I48"/>
    <mergeCell ref="J47:K48"/>
    <mergeCell ref="L47:L48"/>
    <mergeCell ref="J5:P6"/>
    <mergeCell ref="D5:E6"/>
    <mergeCell ref="F5:I6"/>
    <mergeCell ref="Z7:Z8"/>
    <mergeCell ref="Z10:Z11"/>
    <mergeCell ref="N10:P11"/>
    <mergeCell ref="J10:J11"/>
    <mergeCell ref="K10:K11"/>
    <mergeCell ref="L10:L11"/>
    <mergeCell ref="M10:M11"/>
    <mergeCell ref="I10:I11"/>
  </mergeCells>
  <printOptions horizontalCentered="1" verticalCentered="1"/>
  <pageMargins left="0.196850393700787" right="0.196850393700787" top="0.196850393700787" bottom="0.196850393700787" header="0" footer="0"/>
  <pageSetup paperSize="9" scale="51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100"/>
  <sheetViews>
    <sheetView showGridLines="0" workbookViewId="0">
      <selection activeCell="I14" sqref="I14"/>
    </sheetView>
  </sheetViews>
  <sheetFormatPr defaultColWidth="14.42578125" defaultRowHeight="15" customHeight="1"/>
  <cols>
    <col min="1" max="1" width="10.7109375" style="8" customWidth="1"/>
    <col min="2" max="2" width="0.7109375" style="9" customWidth="1"/>
    <col min="3" max="12" width="13.28515625" style="8" customWidth="1"/>
    <col min="13" max="15" width="11.7109375" style="8" customWidth="1"/>
    <col min="16" max="16" width="0.7109375" style="8" customWidth="1"/>
    <col min="17" max="17" width="16.140625" style="8" hidden="1" customWidth="1"/>
    <col min="18" max="18" width="23" style="8" hidden="1" customWidth="1"/>
    <col min="19" max="19" width="23.140625" style="8" hidden="1" customWidth="1"/>
    <col min="20" max="20" width="19.42578125" style="8" hidden="1" customWidth="1"/>
    <col min="21" max="21" width="23" style="8" hidden="1" customWidth="1"/>
    <col min="22" max="22" width="32" style="8" hidden="1" customWidth="1"/>
    <col min="23" max="23" width="19.42578125" style="8" hidden="1" customWidth="1"/>
    <col min="24" max="24" width="35.42578125" style="8" hidden="1" customWidth="1"/>
    <col min="25" max="25" width="40.42578125" style="8" customWidth="1"/>
    <col min="26" max="26" width="1.7109375" style="8" customWidth="1"/>
    <col min="27" max="16384" width="14.42578125" style="8"/>
  </cols>
  <sheetData>
    <row r="1" spans="1:27">
      <c r="A1" s="10"/>
      <c r="B1" s="11"/>
      <c r="C1" s="12"/>
      <c r="D1" s="13"/>
      <c r="E1" s="207" t="s">
        <v>0</v>
      </c>
      <c r="F1" s="208"/>
      <c r="G1" s="12" t="s">
        <v>68</v>
      </c>
      <c r="H1" s="14"/>
      <c r="I1" s="12"/>
      <c r="J1" s="12"/>
      <c r="K1" s="12"/>
      <c r="L1" s="12"/>
      <c r="M1" s="12"/>
      <c r="N1" s="12"/>
      <c r="O1" s="66"/>
      <c r="P1" s="67"/>
      <c r="Q1" s="67"/>
      <c r="R1" s="67"/>
      <c r="S1" s="17"/>
      <c r="T1" s="17"/>
      <c r="U1" s="17"/>
      <c r="V1" s="17"/>
      <c r="W1" s="17"/>
      <c r="X1" s="17"/>
      <c r="Y1" s="107" t="s">
        <v>1</v>
      </c>
    </row>
    <row r="2" spans="1:27">
      <c r="A2" s="15"/>
      <c r="B2" s="16"/>
      <c r="C2" s="17"/>
      <c r="D2" s="18"/>
      <c r="E2" s="15"/>
      <c r="F2" s="17"/>
      <c r="G2" s="17"/>
      <c r="H2" s="19"/>
      <c r="I2" s="17"/>
      <c r="J2" s="17"/>
      <c r="K2" s="17"/>
      <c r="L2" s="17"/>
      <c r="M2" s="17"/>
      <c r="N2" s="17"/>
      <c r="O2" s="21"/>
      <c r="P2" s="67"/>
      <c r="Q2" s="67"/>
      <c r="R2" s="67"/>
      <c r="S2" s="17"/>
      <c r="T2" s="17"/>
      <c r="U2" s="17"/>
      <c r="V2" s="17"/>
      <c r="W2" s="17"/>
      <c r="X2" s="17"/>
      <c r="Y2" s="108"/>
    </row>
    <row r="3" spans="1:27">
      <c r="A3" s="15"/>
      <c r="B3" s="20"/>
      <c r="C3" s="17"/>
      <c r="D3" s="21"/>
      <c r="E3" s="209" t="s">
        <v>4</v>
      </c>
      <c r="F3" s="210"/>
      <c r="G3" s="17" t="s">
        <v>69</v>
      </c>
      <c r="H3" s="17"/>
      <c r="I3" s="17"/>
      <c r="J3" s="68" t="s">
        <v>5</v>
      </c>
      <c r="K3" s="17" t="s">
        <v>6</v>
      </c>
      <c r="L3" s="68"/>
      <c r="M3" s="17"/>
      <c r="N3" s="68"/>
      <c r="O3" s="21"/>
      <c r="P3" s="67"/>
      <c r="Q3" s="67"/>
      <c r="R3" s="67"/>
      <c r="S3" s="17"/>
      <c r="T3" s="17"/>
      <c r="U3" s="17"/>
      <c r="V3" s="17"/>
      <c r="W3" s="17"/>
      <c r="X3" s="17"/>
      <c r="Y3" s="109" t="s">
        <v>7</v>
      </c>
    </row>
    <row r="4" spans="1:27">
      <c r="A4" s="15"/>
      <c r="B4" s="20"/>
      <c r="C4" s="17"/>
      <c r="D4" s="21"/>
      <c r="E4" s="211" t="s">
        <v>9</v>
      </c>
      <c r="F4" s="212"/>
      <c r="G4" s="23" t="s">
        <v>70</v>
      </c>
      <c r="H4" s="23"/>
      <c r="I4" s="23"/>
      <c r="J4" s="69" t="s">
        <v>10</v>
      </c>
      <c r="K4" s="23" t="s">
        <v>11</v>
      </c>
      <c r="L4" s="69" t="s">
        <v>12</v>
      </c>
      <c r="M4" s="23" t="s">
        <v>13</v>
      </c>
      <c r="N4" s="69"/>
      <c r="O4" s="70"/>
      <c r="P4" s="67"/>
      <c r="Q4" s="67"/>
      <c r="R4" s="67"/>
      <c r="S4" s="17"/>
      <c r="T4" s="98"/>
      <c r="U4" s="17"/>
      <c r="V4" s="17"/>
      <c r="W4" s="17"/>
      <c r="X4" s="17"/>
      <c r="Y4" s="109" t="s">
        <v>14</v>
      </c>
      <c r="Z4" s="17"/>
    </row>
    <row r="5" spans="1:27" ht="15.75" customHeight="1">
      <c r="A5" s="24"/>
      <c r="B5" s="16"/>
      <c r="C5" s="25"/>
      <c r="D5" s="26"/>
      <c r="E5" s="213" t="s">
        <v>15</v>
      </c>
      <c r="F5" s="214"/>
      <c r="G5" s="217" t="s">
        <v>16</v>
      </c>
      <c r="H5" s="219"/>
      <c r="I5" s="331"/>
      <c r="J5" s="332"/>
      <c r="K5" s="332"/>
      <c r="L5" s="332"/>
      <c r="M5" s="332"/>
      <c r="N5" s="332"/>
      <c r="O5" s="333"/>
      <c r="P5" s="67"/>
      <c r="Q5" s="67"/>
      <c r="R5" s="67"/>
      <c r="S5" s="17"/>
      <c r="T5" s="98"/>
      <c r="U5" s="17"/>
      <c r="V5" s="17"/>
      <c r="W5" s="17"/>
      <c r="X5" s="17"/>
      <c r="Y5" s="110"/>
      <c r="Z5" s="17"/>
    </row>
    <row r="6" spans="1:27">
      <c r="A6" s="15"/>
      <c r="B6" s="16"/>
      <c r="C6" s="17"/>
      <c r="D6" s="21"/>
      <c r="E6" s="215"/>
      <c r="F6" s="216"/>
      <c r="G6" s="220"/>
      <c r="H6" s="222"/>
      <c r="I6" s="334"/>
      <c r="J6" s="335"/>
      <c r="K6" s="335"/>
      <c r="L6" s="335"/>
      <c r="M6" s="335"/>
      <c r="N6" s="335"/>
      <c r="O6" s="336"/>
      <c r="P6" s="67"/>
      <c r="Q6" s="67"/>
      <c r="R6" s="67"/>
      <c r="S6" s="17"/>
      <c r="T6" s="98"/>
      <c r="U6" s="17"/>
      <c r="V6" s="17"/>
      <c r="W6" s="17"/>
      <c r="X6" s="17"/>
      <c r="Y6" s="111" t="s">
        <v>17</v>
      </c>
      <c r="Z6" s="17"/>
    </row>
    <row r="7" spans="1:27">
      <c r="A7" s="15"/>
      <c r="B7" s="20"/>
      <c r="C7" s="17"/>
      <c r="D7" s="21"/>
      <c r="E7" s="15" t="s">
        <v>18</v>
      </c>
      <c r="F7" s="27"/>
      <c r="G7" s="17"/>
      <c r="H7" s="17"/>
      <c r="I7" s="17"/>
      <c r="J7" s="17"/>
      <c r="K7" s="17"/>
      <c r="L7" s="17"/>
      <c r="M7" s="17"/>
      <c r="N7" s="17"/>
      <c r="O7" s="21"/>
      <c r="P7"/>
      <c r="Q7" s="17" t="s">
        <v>19</v>
      </c>
      <c r="R7" s="99">
        <v>38</v>
      </c>
      <c r="S7" s="17"/>
      <c r="T7" s="98"/>
      <c r="U7" s="17"/>
      <c r="V7" s="17"/>
      <c r="W7" s="17"/>
      <c r="X7" s="17"/>
      <c r="Y7" s="229" t="str">
        <f>PROPER(TEXT(A12,"mmm"&amp;"/"&amp;"AA"))</f>
        <v>Fev/28</v>
      </c>
      <c r="Z7" s="17"/>
    </row>
    <row r="8" spans="1:27">
      <c r="A8" s="28"/>
      <c r="B8" s="29"/>
      <c r="C8" s="30"/>
      <c r="D8" s="31"/>
      <c r="E8" s="28" t="s">
        <v>20</v>
      </c>
      <c r="F8" s="32"/>
      <c r="G8" s="30"/>
      <c r="H8" s="30"/>
      <c r="I8" s="30"/>
      <c r="J8" s="30"/>
      <c r="K8" s="30"/>
      <c r="L8" s="30"/>
      <c r="M8" s="30"/>
      <c r="N8" s="30"/>
      <c r="O8" s="31"/>
      <c r="P8" s="17"/>
      <c r="Q8" s="17" t="s">
        <v>21</v>
      </c>
      <c r="R8" s="99">
        <v>38</v>
      </c>
      <c r="S8" s="17"/>
      <c r="T8" s="98"/>
      <c r="U8" s="17"/>
      <c r="V8" s="17"/>
      <c r="W8" s="17"/>
      <c r="X8" s="17"/>
      <c r="Y8" s="230"/>
      <c r="Z8" s="17"/>
      <c r="AA8" s="112"/>
    </row>
    <row r="9" spans="1:27" ht="7.5" customHeight="1">
      <c r="A9" s="33"/>
      <c r="B9" s="20"/>
      <c r="C9" s="17"/>
      <c r="D9" s="17"/>
      <c r="E9" s="17"/>
      <c r="F9" s="17"/>
      <c r="G9" s="17"/>
      <c r="H9" s="17"/>
      <c r="I9" s="17"/>
      <c r="J9" s="17"/>
      <c r="K9" s="17"/>
      <c r="L9" s="17"/>
      <c r="M9" s="71"/>
      <c r="N9" s="71"/>
      <c r="O9" s="71"/>
      <c r="P9" s="17"/>
      <c r="Q9" s="17"/>
      <c r="R9" s="99"/>
      <c r="S9" s="17"/>
      <c r="T9" s="98"/>
      <c r="U9" s="17"/>
      <c r="V9" s="17"/>
      <c r="W9" s="17"/>
      <c r="X9" s="17"/>
      <c r="Y9" s="17"/>
      <c r="Z9" s="17"/>
    </row>
    <row r="10" spans="1:27" ht="15.75">
      <c r="A10" s="231" t="s">
        <v>22</v>
      </c>
      <c r="C10" s="233" t="s">
        <v>23</v>
      </c>
      <c r="D10" s="34" t="s">
        <v>24</v>
      </c>
      <c r="E10" s="235" t="s">
        <v>25</v>
      </c>
      <c r="F10" s="237" t="s">
        <v>122</v>
      </c>
      <c r="G10" s="238"/>
      <c r="H10" s="239" t="s">
        <v>28</v>
      </c>
      <c r="I10" s="239" t="s">
        <v>123</v>
      </c>
      <c r="J10" s="239" t="s">
        <v>32</v>
      </c>
      <c r="K10" s="239" t="s">
        <v>33</v>
      </c>
      <c r="L10" s="239" t="s">
        <v>34</v>
      </c>
      <c r="M10" s="245" t="s">
        <v>35</v>
      </c>
      <c r="N10" s="246"/>
      <c r="O10" s="247"/>
      <c r="P10" s="17"/>
      <c r="Q10" s="17"/>
      <c r="R10" s="99"/>
      <c r="S10" s="17"/>
      <c r="T10" s="17"/>
      <c r="U10" s="17"/>
      <c r="V10" s="17"/>
      <c r="W10" s="17"/>
      <c r="X10" s="17"/>
      <c r="Y10" s="251" t="s">
        <v>36</v>
      </c>
    </row>
    <row r="11" spans="1:27" ht="15.75">
      <c r="A11" s="232"/>
      <c r="B11" s="35"/>
      <c r="C11" s="234"/>
      <c r="D11" s="36" t="s">
        <v>37</v>
      </c>
      <c r="E11" s="236"/>
      <c r="F11" s="37" t="s">
        <v>38</v>
      </c>
      <c r="G11" s="37" t="s">
        <v>39</v>
      </c>
      <c r="H11" s="240"/>
      <c r="I11" s="240"/>
      <c r="J11" s="240"/>
      <c r="K11" s="240"/>
      <c r="L11" s="240"/>
      <c r="M11" s="248"/>
      <c r="N11" s="249"/>
      <c r="O11" s="250"/>
      <c r="P11" s="17"/>
      <c r="Q11" s="100" t="s">
        <v>40</v>
      </c>
      <c r="R11" s="100" t="s">
        <v>41</v>
      </c>
      <c r="S11" s="100" t="s">
        <v>42</v>
      </c>
      <c r="T11" s="100" t="s">
        <v>43</v>
      </c>
      <c r="U11" s="100" t="s">
        <v>44</v>
      </c>
      <c r="V11" s="100" t="s">
        <v>45</v>
      </c>
      <c r="W11" s="100" t="s">
        <v>46</v>
      </c>
      <c r="X11" s="37" t="s">
        <v>47</v>
      </c>
      <c r="Y11" s="252"/>
    </row>
    <row r="12" spans="1:27">
      <c r="A12" s="38">
        <v>45348</v>
      </c>
      <c r="B12" s="20" t="str">
        <f>VLOOKUP($A12,Datas!$B:$E,4,0)</f>
        <v>1ºQ</v>
      </c>
      <c r="C12" s="39" t="str">
        <f t="array" ref="C12">TEXT(INDEX($A$12:$A$42,MATCH(Datas!A2&amp;Datas!C2&amp;Datas!D2,Datas!$A$2:$A$336&amp;Datas!$C$2:$C$336&amp;Datas!$D$2:$D$336,0)),"DDD")</f>
        <v>dom</v>
      </c>
      <c r="D12" s="40" t="s">
        <v>124</v>
      </c>
      <c r="E12" s="41">
        <v>0.1875</v>
      </c>
      <c r="F12" s="41">
        <v>45286.5</v>
      </c>
      <c r="G12" s="41">
        <v>45286.541666666701</v>
      </c>
      <c r="H12" s="41">
        <v>0.91666666666666696</v>
      </c>
      <c r="I12" s="75">
        <f>IFERROR((F12-E12)+(H12-G12),0)</f>
        <v>0.6875</v>
      </c>
      <c r="J12" s="76">
        <f>IFERROR(VLOOKUP($D12,Datas!$J$1:$K$4,2,0),"")</f>
        <v>38</v>
      </c>
      <c r="K12" s="77">
        <f t="shared" ref="K12:K42" si="0">Q12</f>
        <v>2.0833333333332999E-2</v>
      </c>
      <c r="L12" s="76">
        <f>IF(I12&gt;=0.01,9,0)</f>
        <v>9</v>
      </c>
      <c r="M12" s="323"/>
      <c r="N12" s="324"/>
      <c r="O12" s="325"/>
      <c r="P12" s="17"/>
      <c r="Q12" s="77">
        <f>R12+T12</f>
        <v>2.0833333333332999E-2</v>
      </c>
      <c r="R12" s="77">
        <f t="shared" ref="R12:R16" si="1">IFERROR(S12-V12,0)</f>
        <v>2.0833333333332999E-2</v>
      </c>
      <c r="S12" s="77">
        <f t="shared" ref="S12:S42" si="2">IF(AND(E12&gt;=$X$14,E12&lt;=$X$15),$X$15,IF(AND(E12&gt;=$X$12,E12&lt;=$X$13),$X$12,0))</f>
        <v>0.20833333333333301</v>
      </c>
      <c r="T12" s="77">
        <f t="shared" ref="T12:T16" si="3">IFERROR(W12-U12,0)</f>
        <v>0</v>
      </c>
      <c r="U12" s="77">
        <f t="shared" ref="U12:U42" si="4">IF(AND(H12&gt;=$X$14,H12&lt;=$X$15),$X$15,IF(AND(H12&gt;=$X$12,H12&lt;=$X$13),$X$12,0))</f>
        <v>0.91666666666666696</v>
      </c>
      <c r="V12" s="77">
        <f t="shared" ref="V12:V42" si="5">IF(AND($E12&gt;=$X$12,$E12&lt;=$X$13),$E12,IF(AND($E12&gt;=$X$14,$E12&lt;=$X$15),$E12,0))</f>
        <v>0.1875</v>
      </c>
      <c r="W12" s="77">
        <f t="shared" ref="W12:W42" si="6">IF(AND($H12&gt;=$X$12,$H12&lt;=$X$13),$H12,IF(AND($H12&gt;=$X$14,$H12&lt;=$X$15),$H12,0))</f>
        <v>0.91666666666666696</v>
      </c>
      <c r="X12" s="101">
        <v>0.91666666666666696</v>
      </c>
      <c r="Y12" s="114" t="s">
        <v>125</v>
      </c>
    </row>
    <row r="13" spans="1:27">
      <c r="A13" s="42">
        <f>A12+1</f>
        <v>45349</v>
      </c>
      <c r="B13" s="20" t="str">
        <f>VLOOKUP($A13,Datas!$B:$E,4,0)</f>
        <v>1ºQ</v>
      </c>
      <c r="C13" s="39" t="str">
        <f t="array" ref="C13">TEXT(INDEX($A$12:$A$42,MATCH(Datas!A3&amp;Datas!C3&amp;Datas!D3,Datas!$A$2:$A$336&amp;Datas!$C$2:$C$336&amp;Datas!$D$2:$D$336,0)),"DDD")</f>
        <v>seg</v>
      </c>
      <c r="D13" s="40" t="s">
        <v>2</v>
      </c>
      <c r="E13" s="41">
        <v>8.3333333333333301E-2</v>
      </c>
      <c r="F13" s="41">
        <v>0.54166666666666696</v>
      </c>
      <c r="G13" s="41">
        <v>0.58333333333333304</v>
      </c>
      <c r="H13" s="41">
        <v>0.83333333333333304</v>
      </c>
      <c r="I13" s="75">
        <f t="shared" ref="I13:I42" si="7">IFERROR((F13-E13)+(H13-G13),0)</f>
        <v>0.70833333333333304</v>
      </c>
      <c r="J13" s="76">
        <f>IFERROR(VLOOKUP($D13,Datas!$J$1:$K$4,2,0),"")</f>
        <v>38</v>
      </c>
      <c r="K13" s="77">
        <f t="shared" si="0"/>
        <v>0.125</v>
      </c>
      <c r="L13" s="76">
        <f t="shared" ref="L13:L42" si="8">IF(I13&gt;=0.01,9,0)</f>
        <v>9</v>
      </c>
      <c r="M13" s="323"/>
      <c r="N13" s="324"/>
      <c r="O13" s="325"/>
      <c r="P13" s="17"/>
      <c r="Q13" s="77">
        <f t="shared" ref="Q13:Q42" si="9">R13+T13</f>
        <v>0.125</v>
      </c>
      <c r="R13" s="77">
        <f t="shared" si="1"/>
        <v>0.125</v>
      </c>
      <c r="S13" s="77">
        <f t="shared" si="2"/>
        <v>0.20833333333333301</v>
      </c>
      <c r="T13" s="77">
        <f t="shared" si="3"/>
        <v>0</v>
      </c>
      <c r="U13" s="77">
        <f t="shared" si="4"/>
        <v>0</v>
      </c>
      <c r="V13" s="77">
        <f t="shared" si="5"/>
        <v>8.3333333333333301E-2</v>
      </c>
      <c r="W13" s="77">
        <f t="shared" si="6"/>
        <v>0</v>
      </c>
      <c r="X13" s="101">
        <v>0.999305555555556</v>
      </c>
      <c r="Y13" s="114" t="s">
        <v>125</v>
      </c>
    </row>
    <row r="14" spans="1:27">
      <c r="A14" s="42">
        <f t="shared" ref="A14:A42" si="10">A13+1</f>
        <v>45350</v>
      </c>
      <c r="B14" s="20" t="str">
        <f>VLOOKUP($A14,Datas!$B:$E,4,0)</f>
        <v>1ºQ</v>
      </c>
      <c r="C14" s="39" t="str">
        <f t="array" ref="C14">TEXT(INDEX($A$12:$A$42,MATCH(Datas!A4&amp;Datas!C4&amp;Datas!D4,Datas!$A$2:$A$336&amp;Datas!$C$2:$C$336&amp;Datas!$D$2:$D$336,0)),"DDD")</f>
        <v>ter</v>
      </c>
      <c r="D14" s="40" t="s">
        <v>2</v>
      </c>
      <c r="E14" s="41">
        <v>0.125</v>
      </c>
      <c r="F14" s="41">
        <v>0.5</v>
      </c>
      <c r="G14" s="41">
        <v>0.54166666666666696</v>
      </c>
      <c r="H14" s="41">
        <v>0.95833333333333304</v>
      </c>
      <c r="I14" s="75">
        <f t="shared" si="7"/>
        <v>0.79166666666666696</v>
      </c>
      <c r="J14" s="76">
        <f>IFERROR(VLOOKUP($D14,Datas!$J$1:$K$4,2,0),"")</f>
        <v>38</v>
      </c>
      <c r="K14" s="81">
        <f t="shared" si="0"/>
        <v>0.124999999999999</v>
      </c>
      <c r="L14" s="76">
        <f t="shared" si="8"/>
        <v>9</v>
      </c>
      <c r="M14" s="323"/>
      <c r="N14" s="324"/>
      <c r="O14" s="325"/>
      <c r="P14" s="17"/>
      <c r="Q14" s="77">
        <f t="shared" si="9"/>
        <v>0.124999999999999</v>
      </c>
      <c r="R14" s="77">
        <f t="shared" si="1"/>
        <v>8.3333333333332996E-2</v>
      </c>
      <c r="S14" s="77">
        <f t="shared" si="2"/>
        <v>0.20833333333333301</v>
      </c>
      <c r="T14" s="77">
        <f t="shared" si="3"/>
        <v>4.1666666666666401E-2</v>
      </c>
      <c r="U14" s="77">
        <f t="shared" si="4"/>
        <v>0.91666666666666696</v>
      </c>
      <c r="V14" s="77">
        <f t="shared" si="5"/>
        <v>0.125</v>
      </c>
      <c r="W14" s="77">
        <f t="shared" si="6"/>
        <v>0.95833333333333304</v>
      </c>
      <c r="X14" s="101">
        <v>6.9444444444444404E-4</v>
      </c>
      <c r="Y14" s="115"/>
    </row>
    <row r="15" spans="1:27">
      <c r="A15" s="42">
        <f t="shared" si="10"/>
        <v>45351</v>
      </c>
      <c r="B15" s="20" t="str">
        <f>VLOOKUP($A15,Datas!$B:$E,4,0)</f>
        <v>1ºQ</v>
      </c>
      <c r="C15" s="39" t="str">
        <f t="array" ref="C15">TEXT(INDEX($A$12:$A$42,MATCH(Datas!A5&amp;Datas!C5&amp;Datas!D5,Datas!$A$2:$A$336&amp;Datas!$C$2:$C$336&amp;Datas!$D$2:$D$336,0)),"DDD")</f>
        <v>qua</v>
      </c>
      <c r="D15" s="40" t="s">
        <v>3</v>
      </c>
      <c r="E15" s="41">
        <v>0.1875</v>
      </c>
      <c r="F15" s="41">
        <v>0.47916666666666702</v>
      </c>
      <c r="G15" s="41">
        <v>0.52083333333333304</v>
      </c>
      <c r="H15" s="41">
        <v>0.83333333333333304</v>
      </c>
      <c r="I15" s="75">
        <f t="shared" si="7"/>
        <v>0.60416666666666696</v>
      </c>
      <c r="J15" s="76">
        <f>IFERROR(VLOOKUP($D15,Datas!$J$1:$K$4,2,0),"")</f>
        <v>0</v>
      </c>
      <c r="K15" s="81">
        <f t="shared" si="0"/>
        <v>2.0833333333332999E-2</v>
      </c>
      <c r="L15" s="76">
        <f t="shared" si="8"/>
        <v>9</v>
      </c>
      <c r="M15" s="323"/>
      <c r="N15" s="324"/>
      <c r="O15" s="325"/>
      <c r="P15" s="17"/>
      <c r="Q15" s="77">
        <f t="shared" si="9"/>
        <v>2.0833333333332999E-2</v>
      </c>
      <c r="R15" s="77">
        <f t="shared" si="1"/>
        <v>2.0833333333332999E-2</v>
      </c>
      <c r="S15" s="77">
        <f t="shared" si="2"/>
        <v>0.20833333333333301</v>
      </c>
      <c r="T15" s="77">
        <f t="shared" si="3"/>
        <v>0</v>
      </c>
      <c r="U15" s="77">
        <f t="shared" si="4"/>
        <v>0</v>
      </c>
      <c r="V15" s="77">
        <f t="shared" si="5"/>
        <v>0.1875</v>
      </c>
      <c r="W15" s="77">
        <f t="shared" si="6"/>
        <v>0</v>
      </c>
      <c r="X15" s="101">
        <v>0.20833333333333301</v>
      </c>
      <c r="Y15" s="115"/>
    </row>
    <row r="16" spans="1:27">
      <c r="A16" s="42">
        <f t="shared" si="10"/>
        <v>45352</v>
      </c>
      <c r="B16" s="20" t="str">
        <f>VLOOKUP($A16,Datas!$B:$E,4,0)</f>
        <v>1ºQ</v>
      </c>
      <c r="C16" s="39" t="str">
        <f t="array" ref="C16">TEXT(INDEX($A$12:$A$42,MATCH(Datas!A6&amp;Datas!C6&amp;Datas!D6,Datas!$A$2:$A$336&amp;Datas!$C$2:$C$336&amp;Datas!$D$2:$D$336,0)),"DDD")</f>
        <v>qui</v>
      </c>
      <c r="D16" s="40" t="s">
        <v>3</v>
      </c>
      <c r="E16" s="41" t="s">
        <v>50</v>
      </c>
      <c r="F16" s="41"/>
      <c r="G16" s="41"/>
      <c r="H16" s="41"/>
      <c r="I16" s="75">
        <f t="shared" si="7"/>
        <v>0</v>
      </c>
      <c r="J16" s="76">
        <f>IFERROR(VLOOKUP($D16,Datas!$J$1:$K$4,2,0),"")</f>
        <v>0</v>
      </c>
      <c r="K16" s="81">
        <f t="shared" si="0"/>
        <v>0</v>
      </c>
      <c r="L16" s="76">
        <f t="shared" si="8"/>
        <v>0</v>
      </c>
      <c r="M16" s="323"/>
      <c r="N16" s="324"/>
      <c r="O16" s="325"/>
      <c r="P16" s="17"/>
      <c r="Q16" s="77">
        <f t="shared" si="9"/>
        <v>0</v>
      </c>
      <c r="R16" s="77">
        <f t="shared" si="1"/>
        <v>0</v>
      </c>
      <c r="S16" s="77">
        <f t="shared" si="2"/>
        <v>0</v>
      </c>
      <c r="T16" s="77">
        <f t="shared" si="3"/>
        <v>0</v>
      </c>
      <c r="U16" s="77">
        <f t="shared" si="4"/>
        <v>0</v>
      </c>
      <c r="V16" s="77">
        <f t="shared" si="5"/>
        <v>0</v>
      </c>
      <c r="W16" s="77">
        <f t="shared" si="6"/>
        <v>0</v>
      </c>
      <c r="X16" s="102"/>
      <c r="Y16" s="115"/>
    </row>
    <row r="17" spans="1:25">
      <c r="A17" s="42">
        <f t="shared" si="10"/>
        <v>45353</v>
      </c>
      <c r="B17" s="20" t="str">
        <f>VLOOKUP($A17,Datas!$B:$E,4,0)</f>
        <v>1ºQ</v>
      </c>
      <c r="C17" s="39" t="str">
        <f t="array" ref="C17">TEXT(INDEX($A$12:$A$42,MATCH(Datas!A7&amp;Datas!C7&amp;Datas!D7,Datas!$A$2:$A$336&amp;Datas!$C$2:$C$336&amp;Datas!$D$2:$D$336,0)),"DDD")</f>
        <v>sex</v>
      </c>
      <c r="D17" s="40" t="s">
        <v>3</v>
      </c>
      <c r="E17" s="41" t="s">
        <v>50</v>
      </c>
      <c r="F17" s="41"/>
      <c r="G17" s="41"/>
      <c r="H17" s="41"/>
      <c r="I17" s="75">
        <f t="shared" si="7"/>
        <v>0</v>
      </c>
      <c r="J17" s="76">
        <f>IFERROR(VLOOKUP($D17,Datas!$J$1:$K$4,2,0),"")</f>
        <v>0</v>
      </c>
      <c r="K17" s="81">
        <f t="shared" si="0"/>
        <v>0</v>
      </c>
      <c r="L17" s="76">
        <f t="shared" si="8"/>
        <v>0</v>
      </c>
      <c r="M17" s="78"/>
      <c r="N17" s="79"/>
      <c r="O17" s="80"/>
      <c r="P17" s="17"/>
      <c r="Q17" s="77">
        <f t="shared" si="9"/>
        <v>0</v>
      </c>
      <c r="R17" s="77">
        <f t="shared" ref="R17" si="11">IFERROR(S17-V17,0)</f>
        <v>0</v>
      </c>
      <c r="S17" s="77">
        <f t="shared" si="2"/>
        <v>0</v>
      </c>
      <c r="T17" s="77">
        <f t="shared" ref="T17" si="12">IFERROR(W17-U17,0)</f>
        <v>0</v>
      </c>
      <c r="U17" s="77">
        <f t="shared" si="4"/>
        <v>0</v>
      </c>
      <c r="V17" s="77">
        <f t="shared" si="5"/>
        <v>0</v>
      </c>
      <c r="W17" s="77">
        <f t="shared" si="6"/>
        <v>0</v>
      </c>
      <c r="X17" s="102"/>
      <c r="Y17" s="115"/>
    </row>
    <row r="18" spans="1:25">
      <c r="A18" s="42">
        <f t="shared" si="10"/>
        <v>45354</v>
      </c>
      <c r="B18" s="20" t="str">
        <f>VLOOKUP($A18,Datas!$B:$E,4,0)</f>
        <v>1ºQ</v>
      </c>
      <c r="C18" s="39" t="str">
        <f t="array" ref="C18">TEXT(INDEX($A$12:$A$42,MATCH(Datas!A8&amp;Datas!C8&amp;Datas!D8,Datas!$A$2:$A$336&amp;Datas!$C$2:$C$336&amp;Datas!$D$2:$D$336,0)),"DDD")</f>
        <v>sáb</v>
      </c>
      <c r="D18" s="40" t="s">
        <v>3</v>
      </c>
      <c r="E18" s="41" t="s">
        <v>126</v>
      </c>
      <c r="F18" s="41"/>
      <c r="G18" s="41"/>
      <c r="H18" s="41"/>
      <c r="I18" s="75">
        <f t="shared" si="7"/>
        <v>0</v>
      </c>
      <c r="J18" s="76">
        <f>IFERROR(VLOOKUP($D18,Datas!$J$1:$K$4,2,0),"")</f>
        <v>0</v>
      </c>
      <c r="K18" s="81">
        <f t="shared" si="0"/>
        <v>0</v>
      </c>
      <c r="L18" s="76">
        <f t="shared" si="8"/>
        <v>0</v>
      </c>
      <c r="M18" s="323"/>
      <c r="N18" s="324"/>
      <c r="O18" s="325"/>
      <c r="P18" s="17"/>
      <c r="Q18" s="77">
        <f t="shared" si="9"/>
        <v>0</v>
      </c>
      <c r="R18" s="77">
        <f t="shared" ref="R18:R42" si="13">IFERROR(S18-V18,0)</f>
        <v>0</v>
      </c>
      <c r="S18" s="77">
        <f t="shared" si="2"/>
        <v>0</v>
      </c>
      <c r="T18" s="77">
        <f t="shared" ref="T18:T42" si="14">IFERROR(W18-U18,0)</f>
        <v>0</v>
      </c>
      <c r="U18" s="77">
        <f t="shared" si="4"/>
        <v>0</v>
      </c>
      <c r="V18" s="77">
        <f t="shared" si="5"/>
        <v>0</v>
      </c>
      <c r="W18" s="77">
        <f t="shared" si="6"/>
        <v>0</v>
      </c>
      <c r="X18" s="78"/>
      <c r="Y18" s="115"/>
    </row>
    <row r="19" spans="1:25">
      <c r="A19" s="42">
        <f t="shared" si="10"/>
        <v>45355</v>
      </c>
      <c r="B19" s="20" t="str">
        <f>VLOOKUP($A19,Datas!$B:$E,4,0)</f>
        <v>1ºQ</v>
      </c>
      <c r="C19" s="39" t="str">
        <f t="array" ref="C19">TEXT(INDEX($A$12:$A$42,MATCH(Datas!A9&amp;Datas!C9&amp;Datas!D9,Datas!$A$2:$A$336&amp;Datas!$C$2:$C$336&amp;Datas!$D$2:$D$336,0)),"DDD")</f>
        <v>dom</v>
      </c>
      <c r="D19" s="40" t="s">
        <v>3</v>
      </c>
      <c r="E19" s="41" t="s">
        <v>126</v>
      </c>
      <c r="F19" s="41"/>
      <c r="G19" s="41"/>
      <c r="H19" s="41"/>
      <c r="I19" s="75">
        <f t="shared" si="7"/>
        <v>0</v>
      </c>
      <c r="J19" s="76">
        <f>IFERROR(VLOOKUP($D19,Datas!$J$1:$K$4,2,0),"")</f>
        <v>0</v>
      </c>
      <c r="K19" s="81">
        <f t="shared" si="0"/>
        <v>0</v>
      </c>
      <c r="L19" s="76">
        <f t="shared" si="8"/>
        <v>0</v>
      </c>
      <c r="M19" s="323"/>
      <c r="N19" s="324"/>
      <c r="O19" s="325"/>
      <c r="P19" s="17"/>
      <c r="Q19" s="77">
        <f t="shared" si="9"/>
        <v>0</v>
      </c>
      <c r="R19" s="77">
        <f t="shared" si="13"/>
        <v>0</v>
      </c>
      <c r="S19" s="77">
        <f t="shared" si="2"/>
        <v>0</v>
      </c>
      <c r="T19" s="77">
        <f t="shared" si="14"/>
        <v>0</v>
      </c>
      <c r="U19" s="77">
        <f t="shared" si="4"/>
        <v>0</v>
      </c>
      <c r="V19" s="77">
        <f t="shared" si="5"/>
        <v>0</v>
      </c>
      <c r="W19" s="77">
        <f t="shared" si="6"/>
        <v>0</v>
      </c>
      <c r="X19" s="78"/>
      <c r="Y19" s="115"/>
    </row>
    <row r="20" spans="1:25">
      <c r="A20" s="42">
        <f t="shared" si="10"/>
        <v>45356</v>
      </c>
      <c r="B20" s="20" t="str">
        <f>VLOOKUP($A20,Datas!$B:$E,4,0)</f>
        <v>1ºQ</v>
      </c>
      <c r="C20" s="39" t="str">
        <f t="array" ref="C20">TEXT(INDEX($A$12:$A$42,MATCH(Datas!A10&amp;Datas!C10&amp;Datas!D10,Datas!$A$2:$A$336&amp;Datas!$C$2:$C$336&amp;Datas!$D$2:$D$336,0)),"DDD")</f>
        <v>seg</v>
      </c>
      <c r="D20" s="40" t="s">
        <v>3</v>
      </c>
      <c r="E20" s="41" t="s">
        <v>127</v>
      </c>
      <c r="F20" s="41"/>
      <c r="G20" s="41"/>
      <c r="H20" s="41"/>
      <c r="I20" s="75">
        <f t="shared" si="7"/>
        <v>0</v>
      </c>
      <c r="J20" s="76">
        <f>IFERROR(VLOOKUP($D20,Datas!$J$1:$K$4,2,0),"")</f>
        <v>0</v>
      </c>
      <c r="K20" s="81">
        <f t="shared" si="0"/>
        <v>0</v>
      </c>
      <c r="L20" s="76">
        <f t="shared" si="8"/>
        <v>0</v>
      </c>
      <c r="M20" s="323"/>
      <c r="N20" s="324"/>
      <c r="O20" s="325"/>
      <c r="P20" s="17"/>
      <c r="Q20" s="77">
        <f t="shared" si="9"/>
        <v>0</v>
      </c>
      <c r="R20" s="77">
        <f t="shared" si="13"/>
        <v>0</v>
      </c>
      <c r="S20" s="77">
        <f t="shared" si="2"/>
        <v>0</v>
      </c>
      <c r="T20" s="77">
        <f t="shared" si="14"/>
        <v>0</v>
      </c>
      <c r="U20" s="77">
        <f t="shared" si="4"/>
        <v>0</v>
      </c>
      <c r="V20" s="77">
        <f t="shared" si="5"/>
        <v>0</v>
      </c>
      <c r="W20" s="77">
        <f t="shared" si="6"/>
        <v>0</v>
      </c>
      <c r="X20" s="103"/>
      <c r="Y20" s="115"/>
    </row>
    <row r="21" spans="1:25">
      <c r="A21" s="42">
        <f t="shared" si="10"/>
        <v>45357</v>
      </c>
      <c r="B21" s="20" t="str">
        <f>VLOOKUP($A21,Datas!$B:$E,4,0)</f>
        <v>1ºQ</v>
      </c>
      <c r="C21" s="39" t="str">
        <f t="array" ref="C21">TEXT(INDEX($A$12:$A$42,MATCH(Datas!A11&amp;Datas!C11&amp;Datas!D11,Datas!$A$2:$A$336&amp;Datas!$C$2:$C$336&amp;Datas!$D$2:$D$336,0)),"DDD")</f>
        <v>ter</v>
      </c>
      <c r="D21" s="40" t="s">
        <v>3</v>
      </c>
      <c r="E21" s="41" t="s">
        <v>127</v>
      </c>
      <c r="F21" s="41"/>
      <c r="G21" s="41"/>
      <c r="H21" s="41"/>
      <c r="I21" s="75">
        <f t="shared" si="7"/>
        <v>0</v>
      </c>
      <c r="J21" s="76">
        <f>IFERROR(VLOOKUP($D21,Datas!$J$1:$K$4,2,0),"")</f>
        <v>0</v>
      </c>
      <c r="K21" s="81">
        <f t="shared" si="0"/>
        <v>0</v>
      </c>
      <c r="L21" s="76">
        <f t="shared" si="8"/>
        <v>0</v>
      </c>
      <c r="M21" s="323"/>
      <c r="N21" s="324"/>
      <c r="O21" s="325"/>
      <c r="P21" s="17"/>
      <c r="Q21" s="77">
        <f t="shared" si="9"/>
        <v>0</v>
      </c>
      <c r="R21" s="77">
        <f t="shared" si="13"/>
        <v>0</v>
      </c>
      <c r="S21" s="77">
        <f t="shared" si="2"/>
        <v>0</v>
      </c>
      <c r="T21" s="77">
        <f t="shared" si="14"/>
        <v>0</v>
      </c>
      <c r="U21" s="77">
        <f t="shared" si="4"/>
        <v>0</v>
      </c>
      <c r="V21" s="77">
        <f t="shared" si="5"/>
        <v>0</v>
      </c>
      <c r="W21" s="77">
        <f t="shared" si="6"/>
        <v>0</v>
      </c>
      <c r="X21" s="103"/>
      <c r="Y21" s="115"/>
    </row>
    <row r="22" spans="1:25" ht="15.75" customHeight="1">
      <c r="A22" s="42">
        <f t="shared" si="10"/>
        <v>45358</v>
      </c>
      <c r="B22" s="20" t="str">
        <f>VLOOKUP($A22,Datas!$B:$E,4,0)</f>
        <v>1ºQ</v>
      </c>
      <c r="C22" s="39" t="str">
        <f t="array" ref="C22">TEXT(INDEX($A$12:$A$42,MATCH(Datas!A12&amp;Datas!C12&amp;Datas!D12,Datas!$A$2:$A$336&amp;Datas!$C$2:$C$336&amp;Datas!$D$2:$D$336,0)),"DDD")</f>
        <v>qua</v>
      </c>
      <c r="D22" s="40" t="s">
        <v>3</v>
      </c>
      <c r="E22" s="41" t="s">
        <v>128</v>
      </c>
      <c r="F22" s="41"/>
      <c r="G22" s="41"/>
      <c r="H22" s="41"/>
      <c r="I22" s="75">
        <f t="shared" si="7"/>
        <v>0</v>
      </c>
      <c r="J22" s="76">
        <f>IFERROR(VLOOKUP($D22,Datas!$J$1:$K$4,2,0),"")</f>
        <v>0</v>
      </c>
      <c r="K22" s="81">
        <f t="shared" si="0"/>
        <v>0</v>
      </c>
      <c r="L22" s="76">
        <f t="shared" si="8"/>
        <v>0</v>
      </c>
      <c r="M22" s="78"/>
      <c r="N22" s="82"/>
      <c r="O22" s="83"/>
      <c r="P22" s="17"/>
      <c r="Q22" s="77">
        <f t="shared" si="9"/>
        <v>0</v>
      </c>
      <c r="R22" s="77">
        <f t="shared" si="13"/>
        <v>0</v>
      </c>
      <c r="S22" s="77">
        <f t="shared" si="2"/>
        <v>0</v>
      </c>
      <c r="T22" s="77">
        <f t="shared" si="14"/>
        <v>0</v>
      </c>
      <c r="U22" s="77">
        <f t="shared" si="4"/>
        <v>0</v>
      </c>
      <c r="V22" s="77">
        <f t="shared" si="5"/>
        <v>0</v>
      </c>
      <c r="W22" s="77">
        <f t="shared" si="6"/>
        <v>0</v>
      </c>
      <c r="X22" s="103"/>
      <c r="Y22" s="115"/>
    </row>
    <row r="23" spans="1:25" ht="15.75" customHeight="1">
      <c r="A23" s="42">
        <f t="shared" si="10"/>
        <v>45359</v>
      </c>
      <c r="B23" s="20" t="str">
        <f>VLOOKUP($A23,Datas!$B:$E,4,0)</f>
        <v>1ºQ</v>
      </c>
      <c r="C23" s="39" t="str">
        <f t="array" ref="C23">TEXT(INDEX($A$12:$A$42,MATCH(Datas!A13&amp;Datas!C13&amp;Datas!D13,Datas!$A$2:$A$336&amp;Datas!$C$2:$C$336&amp;Datas!$D$2:$D$336,0)),"DDD")</f>
        <v>qui</v>
      </c>
      <c r="D23" s="40" t="s">
        <v>3</v>
      </c>
      <c r="E23" s="41" t="s">
        <v>128</v>
      </c>
      <c r="F23" s="41"/>
      <c r="G23" s="41"/>
      <c r="H23" s="43"/>
      <c r="I23" s="75">
        <f t="shared" si="7"/>
        <v>0</v>
      </c>
      <c r="J23" s="76">
        <f>IFERROR(VLOOKUP($D23,Datas!$J$1:$K$4,2,0),"")</f>
        <v>0</v>
      </c>
      <c r="K23" s="81">
        <f t="shared" si="0"/>
        <v>0</v>
      </c>
      <c r="L23" s="76">
        <f t="shared" si="8"/>
        <v>0</v>
      </c>
      <c r="M23" s="323"/>
      <c r="N23" s="324"/>
      <c r="O23" s="325"/>
      <c r="P23" s="17"/>
      <c r="Q23" s="77">
        <f t="shared" si="9"/>
        <v>0</v>
      </c>
      <c r="R23" s="77">
        <f t="shared" si="13"/>
        <v>0</v>
      </c>
      <c r="S23" s="77">
        <f t="shared" si="2"/>
        <v>0</v>
      </c>
      <c r="T23" s="77">
        <f t="shared" si="14"/>
        <v>0</v>
      </c>
      <c r="U23" s="77">
        <f t="shared" si="4"/>
        <v>0</v>
      </c>
      <c r="V23" s="77">
        <f t="shared" si="5"/>
        <v>0</v>
      </c>
      <c r="W23" s="77">
        <f t="shared" si="6"/>
        <v>0</v>
      </c>
      <c r="X23" s="103"/>
      <c r="Y23" s="115"/>
    </row>
    <row r="24" spans="1:25" ht="15.75" customHeight="1">
      <c r="A24" s="42">
        <f t="shared" si="10"/>
        <v>45360</v>
      </c>
      <c r="B24" s="20" t="str">
        <f>VLOOKUP($A24,Datas!$B:$E,4,0)</f>
        <v>1ºQ</v>
      </c>
      <c r="C24" s="39" t="str">
        <f t="array" ref="C24">TEXT(INDEX($A$12:$A$42,MATCH(Datas!A14&amp;Datas!C14&amp;Datas!D14,Datas!$A$2:$A$336&amp;Datas!$C$2:$C$336&amp;Datas!$D$2:$D$336,0)),"DDD")</f>
        <v>sex</v>
      </c>
      <c r="D24" s="40" t="s">
        <v>3</v>
      </c>
      <c r="E24" s="41"/>
      <c r="F24" s="41"/>
      <c r="G24" s="41"/>
      <c r="H24" s="41"/>
      <c r="I24" s="75">
        <f t="shared" si="7"/>
        <v>0</v>
      </c>
      <c r="J24" s="76">
        <f>IFERROR(VLOOKUP($D24,Datas!$J$1:$K$4,2,0),"")</f>
        <v>0</v>
      </c>
      <c r="K24" s="77">
        <f t="shared" si="0"/>
        <v>0</v>
      </c>
      <c r="L24" s="76">
        <f t="shared" si="8"/>
        <v>0</v>
      </c>
      <c r="M24" s="323"/>
      <c r="N24" s="324"/>
      <c r="O24" s="325"/>
      <c r="P24" s="17"/>
      <c r="Q24" s="77">
        <f t="shared" si="9"/>
        <v>0</v>
      </c>
      <c r="R24" s="77">
        <f t="shared" si="13"/>
        <v>0</v>
      </c>
      <c r="S24" s="77">
        <f t="shared" si="2"/>
        <v>0</v>
      </c>
      <c r="T24" s="77">
        <f t="shared" si="14"/>
        <v>0</v>
      </c>
      <c r="U24" s="77">
        <f t="shared" si="4"/>
        <v>0</v>
      </c>
      <c r="V24" s="77">
        <f t="shared" si="5"/>
        <v>0</v>
      </c>
      <c r="W24" s="77">
        <f t="shared" si="6"/>
        <v>0</v>
      </c>
      <c r="X24" s="103"/>
      <c r="Y24" s="115"/>
    </row>
    <row r="25" spans="1:25" ht="15.75" customHeight="1">
      <c r="A25" s="42">
        <f t="shared" si="10"/>
        <v>45361</v>
      </c>
      <c r="B25" s="20" t="str">
        <f>VLOOKUP($A25,Datas!$B:$E,4,0)</f>
        <v>2ºQ</v>
      </c>
      <c r="C25" s="39" t="str">
        <f t="array" ref="C25">TEXT(INDEX($A$12:$A$42,MATCH(Datas!A15&amp;Datas!C15&amp;Datas!D15,Datas!$A$2:$A$336&amp;Datas!$C$2:$C$336&amp;Datas!$D$2:$D$336,0)),"DDD")</f>
        <v>sáb</v>
      </c>
      <c r="D25" s="40" t="s">
        <v>3</v>
      </c>
      <c r="E25" s="41"/>
      <c r="F25" s="41"/>
      <c r="G25" s="41"/>
      <c r="H25" s="41"/>
      <c r="I25" s="75">
        <f t="shared" si="7"/>
        <v>0</v>
      </c>
      <c r="J25" s="76">
        <f>IFERROR(VLOOKUP($D25,Datas!$J$1:$K$4,2,0),"")</f>
        <v>0</v>
      </c>
      <c r="K25" s="77">
        <f t="shared" si="0"/>
        <v>0</v>
      </c>
      <c r="L25" s="76">
        <f t="shared" si="8"/>
        <v>0</v>
      </c>
      <c r="M25" s="323"/>
      <c r="N25" s="324"/>
      <c r="O25" s="325"/>
      <c r="P25" s="17"/>
      <c r="Q25" s="77">
        <f t="shared" si="9"/>
        <v>0</v>
      </c>
      <c r="R25" s="77">
        <f t="shared" si="13"/>
        <v>0</v>
      </c>
      <c r="S25" s="77">
        <f t="shared" si="2"/>
        <v>0</v>
      </c>
      <c r="T25" s="77">
        <f t="shared" si="14"/>
        <v>0</v>
      </c>
      <c r="U25" s="77">
        <f t="shared" si="4"/>
        <v>0</v>
      </c>
      <c r="V25" s="77">
        <f t="shared" si="5"/>
        <v>0</v>
      </c>
      <c r="W25" s="77">
        <f t="shared" si="6"/>
        <v>0</v>
      </c>
      <c r="X25" s="103"/>
      <c r="Y25" s="115"/>
    </row>
    <row r="26" spans="1:25" ht="15.75" customHeight="1">
      <c r="A26" s="42">
        <f t="shared" si="10"/>
        <v>45362</v>
      </c>
      <c r="B26" s="20" t="str">
        <f>VLOOKUP($A26,Datas!$B:$E,4,0)</f>
        <v>2ºQ</v>
      </c>
      <c r="C26" s="39" t="str">
        <f t="array" ref="C26">TEXT(INDEX($A$12:$A$42,MATCH(Datas!A16&amp;Datas!C16&amp;Datas!D16,Datas!$A$2:$A$336&amp;Datas!$C$2:$C$336&amp;Datas!$D$2:$D$336,0)),"DDD")</f>
        <v>dom</v>
      </c>
      <c r="D26" s="40" t="s">
        <v>3</v>
      </c>
      <c r="E26" s="41"/>
      <c r="F26" s="41"/>
      <c r="G26" s="41"/>
      <c r="H26" s="41"/>
      <c r="I26" s="75">
        <f t="shared" si="7"/>
        <v>0</v>
      </c>
      <c r="J26" s="76">
        <f>IFERROR(VLOOKUP($D26,Datas!$J$1:$K$4,2,0),"")</f>
        <v>0</v>
      </c>
      <c r="K26" s="77">
        <f t="shared" si="0"/>
        <v>0</v>
      </c>
      <c r="L26" s="76">
        <f t="shared" si="8"/>
        <v>0</v>
      </c>
      <c r="M26" s="323"/>
      <c r="N26" s="324"/>
      <c r="O26" s="325"/>
      <c r="P26" s="17"/>
      <c r="Q26" s="77">
        <f t="shared" si="9"/>
        <v>0</v>
      </c>
      <c r="R26" s="77">
        <f t="shared" si="13"/>
        <v>0</v>
      </c>
      <c r="S26" s="77">
        <f t="shared" si="2"/>
        <v>0</v>
      </c>
      <c r="T26" s="77">
        <f t="shared" si="14"/>
        <v>0</v>
      </c>
      <c r="U26" s="77">
        <f t="shared" si="4"/>
        <v>0</v>
      </c>
      <c r="V26" s="77">
        <f t="shared" si="5"/>
        <v>0</v>
      </c>
      <c r="W26" s="77">
        <f t="shared" si="6"/>
        <v>0</v>
      </c>
      <c r="X26" s="103"/>
      <c r="Y26" s="115"/>
    </row>
    <row r="27" spans="1:25" ht="15.75" customHeight="1">
      <c r="A27" s="42">
        <f t="shared" si="10"/>
        <v>45363</v>
      </c>
      <c r="B27" s="20" t="str">
        <f>VLOOKUP($A27,Datas!$B:$E,4,0)</f>
        <v>2ºQ</v>
      </c>
      <c r="C27" s="39" t="str">
        <f t="array" ref="C27">TEXT(INDEX($A$12:$A$42,MATCH(Datas!A17&amp;Datas!C17&amp;Datas!D17,Datas!$A$2:$A$336&amp;Datas!$C$2:$C$336&amp;Datas!$D$2:$D$336,0)),"DDD")</f>
        <v>seg</v>
      </c>
      <c r="D27" s="40" t="s">
        <v>3</v>
      </c>
      <c r="E27" s="41"/>
      <c r="F27" s="41"/>
      <c r="G27" s="41"/>
      <c r="H27" s="41"/>
      <c r="I27" s="75">
        <f t="shared" si="7"/>
        <v>0</v>
      </c>
      <c r="J27" s="76">
        <f>IFERROR(VLOOKUP($D27,Datas!$J$1:$K$4,2,0),"")</f>
        <v>0</v>
      </c>
      <c r="K27" s="77">
        <f t="shared" si="0"/>
        <v>0</v>
      </c>
      <c r="L27" s="76">
        <f t="shared" si="8"/>
        <v>0</v>
      </c>
      <c r="M27" s="323"/>
      <c r="N27" s="324"/>
      <c r="O27" s="325"/>
      <c r="P27" s="17"/>
      <c r="Q27" s="77">
        <f t="shared" si="9"/>
        <v>0</v>
      </c>
      <c r="R27" s="77">
        <f t="shared" si="13"/>
        <v>0</v>
      </c>
      <c r="S27" s="77">
        <f t="shared" si="2"/>
        <v>0</v>
      </c>
      <c r="T27" s="77">
        <f t="shared" si="14"/>
        <v>0</v>
      </c>
      <c r="U27" s="77">
        <f t="shared" si="4"/>
        <v>0</v>
      </c>
      <c r="V27" s="77">
        <f t="shared" si="5"/>
        <v>0</v>
      </c>
      <c r="W27" s="77">
        <f t="shared" si="6"/>
        <v>0</v>
      </c>
      <c r="X27" s="103"/>
      <c r="Y27" s="115"/>
    </row>
    <row r="28" spans="1:25" ht="15.75" customHeight="1">
      <c r="A28" s="42">
        <f t="shared" si="10"/>
        <v>45364</v>
      </c>
      <c r="B28" s="20" t="str">
        <f>VLOOKUP($A28,Datas!$B:$E,4,0)</f>
        <v>2ºQ</v>
      </c>
      <c r="C28" s="39" t="str">
        <f t="array" ref="C28">TEXT(INDEX($A$12:$A$42,MATCH(Datas!A18&amp;Datas!C18&amp;Datas!D18,Datas!$A$2:$A$336&amp;Datas!$C$2:$C$336&amp;Datas!$D$2:$D$336,0)),"DDD")</f>
        <v>ter</v>
      </c>
      <c r="D28" s="40" t="s">
        <v>3</v>
      </c>
      <c r="E28" s="41"/>
      <c r="F28" s="41"/>
      <c r="G28" s="41"/>
      <c r="H28" s="41"/>
      <c r="I28" s="75">
        <f t="shared" si="7"/>
        <v>0</v>
      </c>
      <c r="J28" s="76">
        <f>IFERROR(VLOOKUP($D28,Datas!$J$1:$K$4,2,0),"")</f>
        <v>0</v>
      </c>
      <c r="K28" s="77">
        <f t="shared" si="0"/>
        <v>0</v>
      </c>
      <c r="L28" s="76">
        <f t="shared" si="8"/>
        <v>0</v>
      </c>
      <c r="M28" s="323"/>
      <c r="N28" s="324"/>
      <c r="O28" s="325"/>
      <c r="P28" s="17"/>
      <c r="Q28" s="77">
        <f t="shared" si="9"/>
        <v>0</v>
      </c>
      <c r="R28" s="77">
        <f t="shared" si="13"/>
        <v>0</v>
      </c>
      <c r="S28" s="77">
        <f t="shared" si="2"/>
        <v>0</v>
      </c>
      <c r="T28" s="77">
        <f t="shared" si="14"/>
        <v>0</v>
      </c>
      <c r="U28" s="77">
        <f t="shared" si="4"/>
        <v>0</v>
      </c>
      <c r="V28" s="77">
        <f t="shared" si="5"/>
        <v>0</v>
      </c>
      <c r="W28" s="77">
        <f t="shared" si="6"/>
        <v>0</v>
      </c>
      <c r="X28" s="103"/>
      <c r="Y28" s="115"/>
    </row>
    <row r="29" spans="1:25" ht="15.75" customHeight="1">
      <c r="A29" s="42">
        <f t="shared" si="10"/>
        <v>45365</v>
      </c>
      <c r="B29" s="20" t="str">
        <f>VLOOKUP($A29,Datas!$B:$E,4,0)</f>
        <v>2ºQ</v>
      </c>
      <c r="C29" s="39" t="str">
        <f t="array" ref="C29">TEXT(INDEX($A$12:$A$42,MATCH(Datas!A19&amp;Datas!C19&amp;Datas!D19,Datas!$A$2:$A$336&amp;Datas!$C$2:$C$336&amp;Datas!$D$2:$D$336,0)),"DDD")</f>
        <v>qua</v>
      </c>
      <c r="D29" s="40" t="s">
        <v>3</v>
      </c>
      <c r="E29" s="41"/>
      <c r="F29" s="41"/>
      <c r="G29" s="41"/>
      <c r="H29" s="41"/>
      <c r="I29" s="75">
        <f t="shared" si="7"/>
        <v>0</v>
      </c>
      <c r="J29" s="76">
        <f>IFERROR(VLOOKUP($D29,Datas!$J$1:$K$4,2,0),"")</f>
        <v>0</v>
      </c>
      <c r="K29" s="77">
        <f t="shared" si="0"/>
        <v>0</v>
      </c>
      <c r="L29" s="76">
        <f t="shared" si="8"/>
        <v>0</v>
      </c>
      <c r="M29" s="323"/>
      <c r="N29" s="324"/>
      <c r="O29" s="325"/>
      <c r="P29" s="17"/>
      <c r="Q29" s="77">
        <f t="shared" si="9"/>
        <v>0</v>
      </c>
      <c r="R29" s="77">
        <f t="shared" si="13"/>
        <v>0</v>
      </c>
      <c r="S29" s="77">
        <f t="shared" si="2"/>
        <v>0</v>
      </c>
      <c r="T29" s="77">
        <f t="shared" si="14"/>
        <v>0</v>
      </c>
      <c r="U29" s="77">
        <f t="shared" si="4"/>
        <v>0</v>
      </c>
      <c r="V29" s="77">
        <f t="shared" si="5"/>
        <v>0</v>
      </c>
      <c r="W29" s="77">
        <f t="shared" si="6"/>
        <v>0</v>
      </c>
      <c r="X29" s="103"/>
      <c r="Y29" s="115"/>
    </row>
    <row r="30" spans="1:25" ht="15.75" customHeight="1">
      <c r="A30" s="42">
        <f t="shared" si="10"/>
        <v>45366</v>
      </c>
      <c r="B30" s="20" t="str">
        <f>VLOOKUP($A30,Datas!$B:$E,4,0)</f>
        <v>2ºQ</v>
      </c>
      <c r="C30" s="39" t="str">
        <f t="array" ref="C30">TEXT(INDEX($A$12:$A$42,MATCH(Datas!A20&amp;Datas!C20&amp;Datas!D20,Datas!$A$2:$A$336&amp;Datas!$C$2:$C$336&amp;Datas!$D$2:$D$336,0)),"DDD")</f>
        <v>qui</v>
      </c>
      <c r="D30" s="40" t="s">
        <v>3</v>
      </c>
      <c r="E30" s="41"/>
      <c r="F30" s="41"/>
      <c r="G30" s="41"/>
      <c r="H30" s="41"/>
      <c r="I30" s="75">
        <f t="shared" si="7"/>
        <v>0</v>
      </c>
      <c r="J30" s="76">
        <f>IFERROR(VLOOKUP($D30,Datas!$J$1:$K$4,2,0),"")</f>
        <v>0</v>
      </c>
      <c r="K30" s="77">
        <f t="shared" si="0"/>
        <v>0</v>
      </c>
      <c r="L30" s="76">
        <f t="shared" si="8"/>
        <v>0</v>
      </c>
      <c r="M30" s="323"/>
      <c r="N30" s="324"/>
      <c r="O30" s="325"/>
      <c r="P30" s="17"/>
      <c r="Q30" s="77">
        <f t="shared" si="9"/>
        <v>0</v>
      </c>
      <c r="R30" s="77">
        <f t="shared" si="13"/>
        <v>0</v>
      </c>
      <c r="S30" s="77">
        <f t="shared" si="2"/>
        <v>0</v>
      </c>
      <c r="T30" s="77">
        <f t="shared" si="14"/>
        <v>0</v>
      </c>
      <c r="U30" s="77">
        <f t="shared" si="4"/>
        <v>0</v>
      </c>
      <c r="V30" s="77">
        <f t="shared" si="5"/>
        <v>0</v>
      </c>
      <c r="W30" s="77">
        <f t="shared" si="6"/>
        <v>0</v>
      </c>
      <c r="X30" s="103"/>
      <c r="Y30" s="115"/>
    </row>
    <row r="31" spans="1:25" ht="15.75" customHeight="1">
      <c r="A31" s="42">
        <f t="shared" si="10"/>
        <v>45367</v>
      </c>
      <c r="B31" s="20" t="str">
        <f>VLOOKUP($A31,Datas!$B:$E,4,0)</f>
        <v>2ºQ</v>
      </c>
      <c r="C31" s="39" t="str">
        <f t="array" ref="C31">TEXT(INDEX($A$12:$A$42,MATCH(Datas!A21&amp;Datas!C21&amp;Datas!D21,Datas!$A$2:$A$336&amp;Datas!$C$2:$C$336&amp;Datas!$D$2:$D$336,0)),"DDD")</f>
        <v>sex</v>
      </c>
      <c r="D31" s="40" t="s">
        <v>3</v>
      </c>
      <c r="E31" s="41"/>
      <c r="F31" s="41"/>
      <c r="G31" s="41"/>
      <c r="H31" s="41"/>
      <c r="I31" s="75">
        <f t="shared" si="7"/>
        <v>0</v>
      </c>
      <c r="J31" s="76">
        <f>IFERROR(VLOOKUP($D31,Datas!$J$1:$K$4,2,0),"")</f>
        <v>0</v>
      </c>
      <c r="K31" s="77">
        <f t="shared" si="0"/>
        <v>0</v>
      </c>
      <c r="L31" s="76">
        <f t="shared" si="8"/>
        <v>0</v>
      </c>
      <c r="M31" s="323"/>
      <c r="N31" s="324"/>
      <c r="O31" s="325"/>
      <c r="P31" s="17"/>
      <c r="Q31" s="77">
        <f t="shared" si="9"/>
        <v>0</v>
      </c>
      <c r="R31" s="77">
        <f t="shared" si="13"/>
        <v>0</v>
      </c>
      <c r="S31" s="77">
        <f t="shared" si="2"/>
        <v>0</v>
      </c>
      <c r="T31" s="77">
        <f t="shared" si="14"/>
        <v>0</v>
      </c>
      <c r="U31" s="77">
        <f t="shared" si="4"/>
        <v>0</v>
      </c>
      <c r="V31" s="77">
        <f t="shared" si="5"/>
        <v>0</v>
      </c>
      <c r="W31" s="77">
        <f t="shared" si="6"/>
        <v>0</v>
      </c>
      <c r="X31" s="103"/>
      <c r="Y31" s="115"/>
    </row>
    <row r="32" spans="1:25" ht="15.75" customHeight="1">
      <c r="A32" s="42">
        <f t="shared" si="10"/>
        <v>45368</v>
      </c>
      <c r="B32" s="20" t="str">
        <f>VLOOKUP($A32,Datas!$B:$E,4,0)</f>
        <v>2ºQ</v>
      </c>
      <c r="C32" s="39" t="str">
        <f t="array" ref="C32">TEXT(INDEX($A$12:$A$42,MATCH(Datas!A22&amp;Datas!C22&amp;Datas!D22,Datas!$A$2:$A$336&amp;Datas!$C$2:$C$336&amp;Datas!$D$2:$D$336,0)),"DDD")</f>
        <v>sáb</v>
      </c>
      <c r="D32" s="40" t="s">
        <v>3</v>
      </c>
      <c r="E32" s="41"/>
      <c r="F32" s="41"/>
      <c r="G32" s="41"/>
      <c r="H32" s="41"/>
      <c r="I32" s="75">
        <f t="shared" si="7"/>
        <v>0</v>
      </c>
      <c r="J32" s="76">
        <f>IFERROR(VLOOKUP($D32,Datas!$J$1:$K$4,2,0),"")</f>
        <v>0</v>
      </c>
      <c r="K32" s="77">
        <f t="shared" si="0"/>
        <v>0</v>
      </c>
      <c r="L32" s="76">
        <f t="shared" si="8"/>
        <v>0</v>
      </c>
      <c r="M32" s="323"/>
      <c r="N32" s="324"/>
      <c r="O32" s="325"/>
      <c r="P32" s="17"/>
      <c r="Q32" s="77">
        <f t="shared" si="9"/>
        <v>0</v>
      </c>
      <c r="R32" s="77">
        <f t="shared" si="13"/>
        <v>0</v>
      </c>
      <c r="S32" s="77">
        <f t="shared" si="2"/>
        <v>0</v>
      </c>
      <c r="T32" s="77">
        <f t="shared" si="14"/>
        <v>0</v>
      </c>
      <c r="U32" s="77">
        <f t="shared" si="4"/>
        <v>0</v>
      </c>
      <c r="V32" s="77">
        <f t="shared" si="5"/>
        <v>0</v>
      </c>
      <c r="W32" s="77">
        <f t="shared" si="6"/>
        <v>0</v>
      </c>
      <c r="X32" s="103"/>
      <c r="Y32" s="115"/>
    </row>
    <row r="33" spans="1:26" ht="15.75" customHeight="1">
      <c r="A33" s="42">
        <f t="shared" si="10"/>
        <v>45369</v>
      </c>
      <c r="B33" s="20" t="str">
        <f>VLOOKUP($A33,Datas!$B:$E,4,0)</f>
        <v>2ºQ</v>
      </c>
      <c r="C33" s="39" t="str">
        <f t="array" ref="C33">TEXT(INDEX($A$12:$A$42,MATCH(Datas!A23&amp;Datas!C23&amp;Datas!D23,Datas!$A$2:$A$336&amp;Datas!$C$2:$C$336&amp;Datas!$D$2:$D$336,0)),"DDD")</f>
        <v>dom</v>
      </c>
      <c r="D33" s="40" t="s">
        <v>3</v>
      </c>
      <c r="E33" s="41"/>
      <c r="F33" s="41"/>
      <c r="G33" s="41"/>
      <c r="H33" s="41"/>
      <c r="I33" s="75">
        <f t="shared" si="7"/>
        <v>0</v>
      </c>
      <c r="J33" s="76">
        <f>IFERROR(VLOOKUP($D33,Datas!$J$1:$K$4,2,0),"")</f>
        <v>0</v>
      </c>
      <c r="K33" s="77">
        <f t="shared" si="0"/>
        <v>0</v>
      </c>
      <c r="L33" s="76">
        <f t="shared" si="8"/>
        <v>0</v>
      </c>
      <c r="M33" s="323"/>
      <c r="N33" s="324"/>
      <c r="O33" s="325"/>
      <c r="P33" s="17"/>
      <c r="Q33" s="77">
        <f t="shared" si="9"/>
        <v>0</v>
      </c>
      <c r="R33" s="77">
        <f t="shared" si="13"/>
        <v>0</v>
      </c>
      <c r="S33" s="77">
        <f t="shared" si="2"/>
        <v>0</v>
      </c>
      <c r="T33" s="77">
        <f t="shared" si="14"/>
        <v>0</v>
      </c>
      <c r="U33" s="77">
        <f t="shared" si="4"/>
        <v>0</v>
      </c>
      <c r="V33" s="77">
        <f t="shared" si="5"/>
        <v>0</v>
      </c>
      <c r="W33" s="77">
        <f t="shared" si="6"/>
        <v>0</v>
      </c>
      <c r="X33" s="103"/>
      <c r="Y33" s="115"/>
    </row>
    <row r="34" spans="1:26" ht="15.75" customHeight="1">
      <c r="A34" s="42">
        <f t="shared" si="10"/>
        <v>45370</v>
      </c>
      <c r="B34" s="20" t="str">
        <f>VLOOKUP($A34,Datas!$B:$E,4,0)</f>
        <v>2ºQ</v>
      </c>
      <c r="C34" s="39" t="str">
        <f t="array" ref="C34">TEXT(INDEX($A$12:$A$42,MATCH(Datas!A24&amp;Datas!C24&amp;Datas!D24,Datas!$A$2:$A$336&amp;Datas!$C$2:$C$336&amp;Datas!$D$2:$D$336,0)),"DDD")</f>
        <v>seg</v>
      </c>
      <c r="D34" s="40" t="s">
        <v>3</v>
      </c>
      <c r="E34" s="41"/>
      <c r="F34" s="41"/>
      <c r="G34" s="41"/>
      <c r="H34" s="41"/>
      <c r="I34" s="75">
        <f t="shared" si="7"/>
        <v>0</v>
      </c>
      <c r="J34" s="76">
        <f>IFERROR(VLOOKUP($D34,Datas!$J$1:$K$4,2,0),"")</f>
        <v>0</v>
      </c>
      <c r="K34" s="77">
        <f t="shared" si="0"/>
        <v>0</v>
      </c>
      <c r="L34" s="76">
        <f t="shared" si="8"/>
        <v>0</v>
      </c>
      <c r="M34" s="323"/>
      <c r="N34" s="324"/>
      <c r="O34" s="325"/>
      <c r="P34" s="17"/>
      <c r="Q34" s="77">
        <f t="shared" si="9"/>
        <v>0</v>
      </c>
      <c r="R34" s="77">
        <f t="shared" si="13"/>
        <v>0</v>
      </c>
      <c r="S34" s="77">
        <f t="shared" si="2"/>
        <v>0</v>
      </c>
      <c r="T34" s="77">
        <f t="shared" si="14"/>
        <v>0</v>
      </c>
      <c r="U34" s="77">
        <f t="shared" si="4"/>
        <v>0</v>
      </c>
      <c r="V34" s="77">
        <f t="shared" si="5"/>
        <v>0</v>
      </c>
      <c r="W34" s="77">
        <f t="shared" si="6"/>
        <v>0</v>
      </c>
      <c r="X34" s="103"/>
      <c r="Y34" s="115"/>
    </row>
    <row r="35" spans="1:26" ht="15.75" customHeight="1">
      <c r="A35" s="42">
        <f t="shared" si="10"/>
        <v>45371</v>
      </c>
      <c r="B35" s="20" t="str">
        <f>VLOOKUP($A35,Datas!$B:$E,4,0)</f>
        <v>2ºQ</v>
      </c>
      <c r="C35" s="39" t="str">
        <f t="array" ref="C35">TEXT(INDEX($A$12:$A$42,MATCH(Datas!A25&amp;Datas!C25&amp;Datas!D25,Datas!$A$2:$A$336&amp;Datas!$C$2:$C$336&amp;Datas!$D$2:$D$336,0)),"DDD")</f>
        <v>ter</v>
      </c>
      <c r="D35" s="40" t="s">
        <v>3</v>
      </c>
      <c r="E35" s="41"/>
      <c r="F35" s="41"/>
      <c r="G35" s="41"/>
      <c r="H35" s="41"/>
      <c r="I35" s="75">
        <f t="shared" si="7"/>
        <v>0</v>
      </c>
      <c r="J35" s="76">
        <f>IFERROR(VLOOKUP($D35,Datas!$J$1:$K$4,2,0),"")</f>
        <v>0</v>
      </c>
      <c r="K35" s="77">
        <f t="shared" si="0"/>
        <v>0</v>
      </c>
      <c r="L35" s="76">
        <f t="shared" si="8"/>
        <v>0</v>
      </c>
      <c r="M35" s="323"/>
      <c r="N35" s="324"/>
      <c r="O35" s="325"/>
      <c r="P35" s="17"/>
      <c r="Q35" s="77">
        <f t="shared" si="9"/>
        <v>0</v>
      </c>
      <c r="R35" s="77">
        <f t="shared" si="13"/>
        <v>0</v>
      </c>
      <c r="S35" s="77">
        <f t="shared" si="2"/>
        <v>0</v>
      </c>
      <c r="T35" s="77">
        <f t="shared" si="14"/>
        <v>0</v>
      </c>
      <c r="U35" s="77">
        <f t="shared" si="4"/>
        <v>0</v>
      </c>
      <c r="V35" s="77">
        <f t="shared" si="5"/>
        <v>0</v>
      </c>
      <c r="W35" s="77">
        <f t="shared" si="6"/>
        <v>0</v>
      </c>
      <c r="X35" s="103"/>
      <c r="Y35" s="115"/>
    </row>
    <row r="36" spans="1:26" ht="15.75" customHeight="1">
      <c r="A36" s="42">
        <f t="shared" si="10"/>
        <v>45372</v>
      </c>
      <c r="B36" s="20" t="str">
        <f>VLOOKUP($A36,Datas!$B:$E,4,0)</f>
        <v>2ºQ</v>
      </c>
      <c r="C36" s="39" t="str">
        <f t="array" ref="C36">TEXT(INDEX($A$12:$A$42,MATCH(Datas!A26&amp;Datas!C26&amp;Datas!D26,Datas!$A$2:$A$336&amp;Datas!$C$2:$C$336&amp;Datas!$D$2:$D$336,0)),"DDD")</f>
        <v>qua</v>
      </c>
      <c r="D36" s="40" t="s">
        <v>3</v>
      </c>
      <c r="E36" s="41"/>
      <c r="F36" s="41"/>
      <c r="G36" s="41"/>
      <c r="H36" s="41"/>
      <c r="I36" s="75">
        <f t="shared" si="7"/>
        <v>0</v>
      </c>
      <c r="J36" s="76">
        <f>IFERROR(VLOOKUP($D36,Datas!$J$1:$K$4,2,0),"")</f>
        <v>0</v>
      </c>
      <c r="K36" s="77">
        <f t="shared" si="0"/>
        <v>0</v>
      </c>
      <c r="L36" s="76">
        <f t="shared" si="8"/>
        <v>0</v>
      </c>
      <c r="M36" s="323"/>
      <c r="N36" s="324"/>
      <c r="O36" s="325"/>
      <c r="P36" s="17"/>
      <c r="Q36" s="77">
        <f t="shared" si="9"/>
        <v>0</v>
      </c>
      <c r="R36" s="77">
        <f t="shared" si="13"/>
        <v>0</v>
      </c>
      <c r="S36" s="77">
        <f t="shared" si="2"/>
        <v>0</v>
      </c>
      <c r="T36" s="77">
        <f t="shared" si="14"/>
        <v>0</v>
      </c>
      <c r="U36" s="77">
        <f t="shared" si="4"/>
        <v>0</v>
      </c>
      <c r="V36" s="77">
        <f t="shared" si="5"/>
        <v>0</v>
      </c>
      <c r="W36" s="77">
        <f t="shared" si="6"/>
        <v>0</v>
      </c>
      <c r="X36" s="103"/>
      <c r="Y36" s="115"/>
    </row>
    <row r="37" spans="1:26" ht="15.75" customHeight="1">
      <c r="A37" s="42">
        <f t="shared" si="10"/>
        <v>45373</v>
      </c>
      <c r="B37" s="20" t="str">
        <f>VLOOKUP($A37,Datas!$B:$E,4,0)</f>
        <v>2ºQ</v>
      </c>
      <c r="C37" s="39" t="str">
        <f t="array" ref="C37">TEXT(INDEX($A$12:$A$42,MATCH(Datas!A27&amp;Datas!C27&amp;Datas!D27,Datas!$A$2:$A$336&amp;Datas!$C$2:$C$336&amp;Datas!$D$2:$D$336,0)),"DDD")</f>
        <v>qui</v>
      </c>
      <c r="D37" s="40" t="s">
        <v>3</v>
      </c>
      <c r="E37" s="41"/>
      <c r="F37" s="41"/>
      <c r="G37" s="41"/>
      <c r="H37" s="41"/>
      <c r="I37" s="75">
        <f t="shared" si="7"/>
        <v>0</v>
      </c>
      <c r="J37" s="76">
        <f>IFERROR(VLOOKUP($D37,Datas!$J$1:$K$4,2,0),"")</f>
        <v>0</v>
      </c>
      <c r="K37" s="77">
        <f t="shared" si="0"/>
        <v>0</v>
      </c>
      <c r="L37" s="76">
        <f t="shared" si="8"/>
        <v>0</v>
      </c>
      <c r="M37" s="323"/>
      <c r="N37" s="324"/>
      <c r="O37" s="325"/>
      <c r="P37" s="17"/>
      <c r="Q37" s="77">
        <f t="shared" si="9"/>
        <v>0</v>
      </c>
      <c r="R37" s="77">
        <f t="shared" si="13"/>
        <v>0</v>
      </c>
      <c r="S37" s="77">
        <f t="shared" si="2"/>
        <v>0</v>
      </c>
      <c r="T37" s="77">
        <f t="shared" si="14"/>
        <v>0</v>
      </c>
      <c r="U37" s="77">
        <f t="shared" si="4"/>
        <v>0</v>
      </c>
      <c r="V37" s="77">
        <f t="shared" si="5"/>
        <v>0</v>
      </c>
      <c r="W37" s="77">
        <f t="shared" si="6"/>
        <v>0</v>
      </c>
      <c r="X37" s="103"/>
      <c r="Y37" s="115"/>
    </row>
    <row r="38" spans="1:26" ht="15.75" customHeight="1">
      <c r="A38" s="42">
        <f t="shared" si="10"/>
        <v>45374</v>
      </c>
      <c r="B38" s="20" t="str">
        <f>VLOOKUP($A38,Datas!$B:$E,4,0)</f>
        <v>2ºQ</v>
      </c>
      <c r="C38" s="39" t="str">
        <f t="array" ref="C38">TEXT(INDEX($A$12:$A$42,MATCH(Datas!A28&amp;Datas!C28&amp;Datas!D28,Datas!$A$2:$A$336&amp;Datas!$C$2:$C$336&amp;Datas!$D$2:$D$336,0)),"DDD")</f>
        <v>sex</v>
      </c>
      <c r="D38" s="40" t="s">
        <v>3</v>
      </c>
      <c r="E38" s="41"/>
      <c r="F38" s="41"/>
      <c r="G38" s="41"/>
      <c r="H38" s="41"/>
      <c r="I38" s="75">
        <f t="shared" si="7"/>
        <v>0</v>
      </c>
      <c r="J38" s="76">
        <f>IFERROR(VLOOKUP($D38,Datas!$J$1:$K$4,2,0),"")</f>
        <v>0</v>
      </c>
      <c r="K38" s="77">
        <f t="shared" si="0"/>
        <v>0</v>
      </c>
      <c r="L38" s="76">
        <f t="shared" si="8"/>
        <v>0</v>
      </c>
      <c r="M38" s="323"/>
      <c r="N38" s="324"/>
      <c r="O38" s="325"/>
      <c r="P38" s="17"/>
      <c r="Q38" s="77">
        <f t="shared" si="9"/>
        <v>0</v>
      </c>
      <c r="R38" s="77">
        <f t="shared" si="13"/>
        <v>0</v>
      </c>
      <c r="S38" s="77">
        <f t="shared" si="2"/>
        <v>0</v>
      </c>
      <c r="T38" s="77">
        <f t="shared" si="14"/>
        <v>0</v>
      </c>
      <c r="U38" s="77">
        <f t="shared" si="4"/>
        <v>0</v>
      </c>
      <c r="V38" s="77">
        <f t="shared" si="5"/>
        <v>0</v>
      </c>
      <c r="W38" s="77">
        <f t="shared" si="6"/>
        <v>0</v>
      </c>
      <c r="X38" s="103"/>
      <c r="Y38" s="115"/>
    </row>
    <row r="39" spans="1:26" ht="15.75" customHeight="1">
      <c r="A39" s="42">
        <f t="shared" si="10"/>
        <v>45375</v>
      </c>
      <c r="B39" s="20" t="str">
        <f>VLOOKUP($A39,Datas!$B:$E,4,0)</f>
        <v>2ºQ</v>
      </c>
      <c r="C39" s="39" t="str">
        <f t="array" ref="C39">TEXT(INDEX($A$12:$A$42,MATCH(Datas!A29&amp;Datas!C29&amp;Datas!D29,Datas!$A$2:$A$336&amp;Datas!$C$2:$C$336&amp;Datas!$D$2:$D$336,0)),"DDD")</f>
        <v>sáb</v>
      </c>
      <c r="D39" s="40" t="s">
        <v>3</v>
      </c>
      <c r="E39" s="41"/>
      <c r="F39" s="41"/>
      <c r="G39" s="41"/>
      <c r="H39" s="41"/>
      <c r="I39" s="75">
        <f t="shared" si="7"/>
        <v>0</v>
      </c>
      <c r="J39" s="76">
        <f>IFERROR(VLOOKUP($D39,Datas!$J$1:$K$4,2,0),"")</f>
        <v>0</v>
      </c>
      <c r="K39" s="77">
        <f t="shared" si="0"/>
        <v>0</v>
      </c>
      <c r="L39" s="76">
        <f t="shared" si="8"/>
        <v>0</v>
      </c>
      <c r="M39" s="323"/>
      <c r="N39" s="324"/>
      <c r="O39" s="325"/>
      <c r="P39" s="17"/>
      <c r="Q39" s="77">
        <f t="shared" si="9"/>
        <v>0</v>
      </c>
      <c r="R39" s="77">
        <f t="shared" si="13"/>
        <v>0</v>
      </c>
      <c r="S39" s="77">
        <f t="shared" si="2"/>
        <v>0</v>
      </c>
      <c r="T39" s="77">
        <f t="shared" si="14"/>
        <v>0</v>
      </c>
      <c r="U39" s="77">
        <f t="shared" si="4"/>
        <v>0</v>
      </c>
      <c r="V39" s="77">
        <f t="shared" si="5"/>
        <v>0</v>
      </c>
      <c r="W39" s="77">
        <f t="shared" si="6"/>
        <v>0</v>
      </c>
      <c r="X39" s="103"/>
      <c r="Y39" s="115"/>
    </row>
    <row r="40" spans="1:26" ht="15.75" customHeight="1">
      <c r="A40" s="42">
        <f t="shared" si="10"/>
        <v>45376</v>
      </c>
      <c r="B40" s="20" t="str">
        <f>VLOOKUP($A40,Datas!$B:$E,4,0)</f>
        <v>2ºQ</v>
      </c>
      <c r="C40" s="39" t="str">
        <f t="array" ref="C40">TEXT(INDEX($A$12:$A$42,MATCH(Datas!A30&amp;Datas!C30&amp;Datas!D30,Datas!$A$2:$A$336&amp;Datas!$C$2:$C$336&amp;Datas!$D$2:$D$336,0)),"DDD")</f>
        <v>dom</v>
      </c>
      <c r="D40" s="40" t="s">
        <v>3</v>
      </c>
      <c r="E40" s="41"/>
      <c r="F40" s="41"/>
      <c r="G40" s="41"/>
      <c r="H40" s="41"/>
      <c r="I40" s="75">
        <f t="shared" si="7"/>
        <v>0</v>
      </c>
      <c r="J40" s="76">
        <f>IFERROR(VLOOKUP($D40,Datas!$J$1:$K$4,2,0),"")</f>
        <v>0</v>
      </c>
      <c r="K40" s="77">
        <f t="shared" si="0"/>
        <v>0</v>
      </c>
      <c r="L40" s="76">
        <f t="shared" si="8"/>
        <v>0</v>
      </c>
      <c r="M40" s="323"/>
      <c r="N40" s="324"/>
      <c r="O40" s="325"/>
      <c r="P40" s="17"/>
      <c r="Q40" s="77">
        <f t="shared" si="9"/>
        <v>0</v>
      </c>
      <c r="R40" s="77">
        <f t="shared" si="13"/>
        <v>0</v>
      </c>
      <c r="S40" s="77">
        <f t="shared" si="2"/>
        <v>0</v>
      </c>
      <c r="T40" s="77">
        <f t="shared" si="14"/>
        <v>0</v>
      </c>
      <c r="U40" s="77">
        <f t="shared" si="4"/>
        <v>0</v>
      </c>
      <c r="V40" s="77">
        <f t="shared" si="5"/>
        <v>0</v>
      </c>
      <c r="W40" s="77">
        <f t="shared" si="6"/>
        <v>0</v>
      </c>
      <c r="X40" s="103"/>
      <c r="Y40" s="115"/>
    </row>
    <row r="41" spans="1:26" ht="15.75" customHeight="1">
      <c r="A41" s="42">
        <f t="shared" si="10"/>
        <v>45377</v>
      </c>
      <c r="B41" s="20" t="str">
        <f>VLOOKUP($A41,Datas!$B:$E,4,0)</f>
        <v>1ºQ</v>
      </c>
      <c r="C41" s="39" t="str">
        <f t="array" ref="C41">TEXT(INDEX($A$12:$A$42,MATCH(Datas!A31&amp;Datas!C31&amp;Datas!D31,Datas!$A$2:$A$336&amp;Datas!$C$2:$C$336&amp;Datas!$D$2:$D$336,0)),"DDD")</f>
        <v>seg</v>
      </c>
      <c r="D41" s="40" t="s">
        <v>3</v>
      </c>
      <c r="E41" s="41"/>
      <c r="F41" s="41"/>
      <c r="G41" s="41"/>
      <c r="H41" s="41">
        <v>9.1666666666666696</v>
      </c>
      <c r="I41" s="75">
        <f t="shared" si="7"/>
        <v>9.1666666666666696</v>
      </c>
      <c r="J41" s="76">
        <f>IFERROR(VLOOKUP($D41,Datas!$J$1:$K$4,2,0),"")</f>
        <v>0</v>
      </c>
      <c r="K41" s="77">
        <f t="shared" si="0"/>
        <v>0</v>
      </c>
      <c r="L41" s="76">
        <f t="shared" si="8"/>
        <v>9</v>
      </c>
      <c r="M41" s="323"/>
      <c r="N41" s="324"/>
      <c r="O41" s="325"/>
      <c r="P41" s="17"/>
      <c r="Q41" s="77">
        <f t="shared" si="9"/>
        <v>0</v>
      </c>
      <c r="R41" s="77">
        <f t="shared" si="13"/>
        <v>0</v>
      </c>
      <c r="S41" s="77">
        <f t="shared" si="2"/>
        <v>0</v>
      </c>
      <c r="T41" s="77">
        <f t="shared" si="14"/>
        <v>0</v>
      </c>
      <c r="U41" s="77">
        <f t="shared" si="4"/>
        <v>0</v>
      </c>
      <c r="V41" s="77">
        <f t="shared" si="5"/>
        <v>0</v>
      </c>
      <c r="W41" s="77">
        <f t="shared" si="6"/>
        <v>0</v>
      </c>
      <c r="X41" s="103"/>
      <c r="Y41" s="115"/>
    </row>
    <row r="42" spans="1:26" ht="15.75" customHeight="1">
      <c r="A42" s="42">
        <f t="shared" si="10"/>
        <v>45378</v>
      </c>
      <c r="B42" s="20" t="str">
        <f>VLOOKUP($A42,Datas!$B:$E,4,0)</f>
        <v>1ºQ</v>
      </c>
      <c r="C42" s="39" t="str">
        <f t="array" ref="C42">TEXT(INDEX($A$12:$A$42,MATCH(Datas!A32&amp;Datas!C32&amp;Datas!D32,Datas!$A$2:$A$336&amp;Datas!$C$2:$C$336&amp;Datas!$D$2:$D$336,0)),"DDD")</f>
        <v>ter</v>
      </c>
      <c r="D42" s="40" t="s">
        <v>3</v>
      </c>
      <c r="E42" s="44"/>
      <c r="F42" s="44"/>
      <c r="G42" s="44"/>
      <c r="H42" s="44"/>
      <c r="I42" s="75">
        <f t="shared" si="7"/>
        <v>0</v>
      </c>
      <c r="J42" s="76">
        <f>IFERROR(VLOOKUP($D42,Datas!$J$1:$K$4,2,0),"")</f>
        <v>0</v>
      </c>
      <c r="K42" s="77">
        <f t="shared" si="0"/>
        <v>0</v>
      </c>
      <c r="L42" s="76">
        <f t="shared" si="8"/>
        <v>0</v>
      </c>
      <c r="M42" s="326"/>
      <c r="N42" s="327"/>
      <c r="O42" s="328"/>
      <c r="P42" s="17"/>
      <c r="Q42" s="77">
        <f t="shared" si="9"/>
        <v>0</v>
      </c>
      <c r="R42" s="77">
        <f t="shared" si="13"/>
        <v>0</v>
      </c>
      <c r="S42" s="77">
        <f t="shared" si="2"/>
        <v>0</v>
      </c>
      <c r="T42" s="77">
        <f t="shared" si="14"/>
        <v>0</v>
      </c>
      <c r="U42" s="77">
        <f t="shared" si="4"/>
        <v>0</v>
      </c>
      <c r="V42" s="77">
        <f t="shared" si="5"/>
        <v>0</v>
      </c>
      <c r="W42" s="77">
        <f t="shared" si="6"/>
        <v>0</v>
      </c>
      <c r="X42" s="103"/>
      <c r="Y42" s="116"/>
    </row>
    <row r="43" spans="1:26" ht="15.75" customHeight="1">
      <c r="A43" s="223" t="s">
        <v>51</v>
      </c>
      <c r="B43" s="224"/>
      <c r="C43" s="224"/>
      <c r="D43" s="224"/>
      <c r="E43" s="224"/>
      <c r="F43" s="224"/>
      <c r="G43" s="224"/>
      <c r="H43" s="225"/>
      <c r="I43" s="84">
        <f t="shared" ref="I43:L43" si="15">SUM(I12:I42)</f>
        <v>11.9583333333333</v>
      </c>
      <c r="J43" s="85">
        <f t="shared" si="15"/>
        <v>114</v>
      </c>
      <c r="K43" s="86">
        <f t="shared" si="15"/>
        <v>0.29166666666666502</v>
      </c>
      <c r="L43" s="87">
        <f t="shared" si="15"/>
        <v>45</v>
      </c>
      <c r="M43" s="226"/>
      <c r="N43" s="227"/>
      <c r="O43" s="228"/>
      <c r="P43" s="17"/>
      <c r="Q43" s="17"/>
      <c r="R43" s="17"/>
      <c r="S43" s="17"/>
      <c r="T43" s="17"/>
      <c r="U43" s="17"/>
      <c r="V43" s="17"/>
      <c r="W43" s="17"/>
      <c r="X43" s="17"/>
      <c r="Y43" s="117"/>
    </row>
    <row r="44" spans="1:26" ht="7.5" customHeight="1">
      <c r="A44" s="33"/>
      <c r="B44" s="16"/>
      <c r="C44" s="17"/>
      <c r="D44" s="17"/>
      <c r="E44" s="17"/>
      <c r="F44" s="17"/>
      <c r="G44" s="17"/>
      <c r="H44" s="17"/>
      <c r="I44" s="88">
        <v>9.1666666666666696</v>
      </c>
      <c r="J44" s="17"/>
      <c r="K44" s="17"/>
      <c r="L44" s="63"/>
      <c r="M44" s="17"/>
      <c r="N44" s="89"/>
      <c r="O44" s="17"/>
      <c r="P44" s="253"/>
      <c r="Q44" s="254"/>
      <c r="R44" s="254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255" t="s">
        <v>52</v>
      </c>
      <c r="B45" s="256"/>
      <c r="C45" s="257"/>
      <c r="D45" s="261">
        <f>COUNTIF($E$12:$E$42,"FALTA")</f>
        <v>2</v>
      </c>
      <c r="E45" s="262"/>
      <c r="F45" s="265" t="s">
        <v>129</v>
      </c>
      <c r="G45" s="265"/>
      <c r="H45" s="265"/>
      <c r="I45" s="265"/>
      <c r="J45" s="265"/>
      <c r="K45" s="265"/>
      <c r="L45" s="255" t="s">
        <v>54</v>
      </c>
      <c r="M45" s="265"/>
      <c r="N45" s="265"/>
      <c r="O45" s="267"/>
      <c r="P45" s="253"/>
      <c r="Q45" s="254"/>
      <c r="R45" s="254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258"/>
      <c r="B46" s="259"/>
      <c r="C46" s="260"/>
      <c r="D46" s="263"/>
      <c r="E46" s="264"/>
      <c r="F46" s="266"/>
      <c r="G46" s="266"/>
      <c r="H46" s="266"/>
      <c r="I46" s="266"/>
      <c r="J46" s="266"/>
      <c r="K46" s="266"/>
      <c r="L46" s="268"/>
      <c r="M46" s="269"/>
      <c r="N46" s="269"/>
      <c r="O46" s="270"/>
      <c r="P46" s="253"/>
      <c r="Q46" s="254"/>
      <c r="R46" s="254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49"/>
      <c r="B47" s="50"/>
      <c r="C47" s="51"/>
      <c r="D47" s="51"/>
      <c r="E47" s="51"/>
      <c r="F47" s="47"/>
      <c r="G47" s="45"/>
      <c r="H47" s="52"/>
      <c r="I47" s="45"/>
      <c r="J47" s="45"/>
      <c r="K47" s="52"/>
      <c r="L47" s="209"/>
      <c r="M47" s="253"/>
      <c r="N47" s="253"/>
      <c r="O47" s="271"/>
      <c r="P47" s="253"/>
      <c r="Q47" s="254"/>
      <c r="R47" s="254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255" t="s">
        <v>55</v>
      </c>
      <c r="B48" s="265"/>
      <c r="C48" s="267"/>
      <c r="D48" s="261">
        <f>COUNTIF($E$12:$E$42,"FOLGA")</f>
        <v>2</v>
      </c>
      <c r="E48" s="277"/>
      <c r="F48" s="207" t="s">
        <v>56</v>
      </c>
      <c r="G48" s="279"/>
      <c r="H48" s="329">
        <f>COUNTIF($E$12:$E$42,"SUSPENSÃO")</f>
        <v>2</v>
      </c>
      <c r="I48" s="207" t="s">
        <v>57</v>
      </c>
      <c r="J48" s="208"/>
      <c r="K48" s="261">
        <f>COUNTIF($E$12:$E$42,"ADVERTENCIA")</f>
        <v>2</v>
      </c>
      <c r="L48" s="272"/>
      <c r="M48" s="273"/>
      <c r="N48" s="273"/>
      <c r="O48" s="274"/>
      <c r="P48" s="254"/>
      <c r="Q48" s="254"/>
      <c r="R48" s="254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275"/>
      <c r="B49" s="266"/>
      <c r="C49" s="276"/>
      <c r="D49" s="263"/>
      <c r="E49" s="278"/>
      <c r="F49" s="272"/>
      <c r="G49" s="274"/>
      <c r="H49" s="330"/>
      <c r="I49" s="272"/>
      <c r="J49" s="273"/>
      <c r="K49" s="263"/>
      <c r="L49" s="292" t="s">
        <v>58</v>
      </c>
      <c r="M49" s="253"/>
      <c r="N49" s="253"/>
      <c r="O49" s="293"/>
      <c r="P49" s="253" t="s">
        <v>59</v>
      </c>
      <c r="Q49" s="254"/>
      <c r="R49" s="254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33"/>
      <c r="B50" s="16"/>
      <c r="C50" s="17"/>
      <c r="D50" s="17"/>
      <c r="E50" s="17"/>
      <c r="F50" s="17"/>
      <c r="G50" s="17"/>
      <c r="H50" s="20" t="s">
        <v>60</v>
      </c>
      <c r="I50" s="16" t="s">
        <v>61</v>
      </c>
      <c r="J50" s="17"/>
      <c r="K50" s="17"/>
      <c r="L50" s="268"/>
      <c r="M50" s="269"/>
      <c r="N50" s="269"/>
      <c r="O50" s="270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7.45" customHeight="1">
      <c r="A51" s="53" t="s">
        <v>62</v>
      </c>
      <c r="B51" s="54"/>
      <c r="C51" s="45"/>
      <c r="D51" s="45"/>
      <c r="E51" s="45"/>
      <c r="F51" s="45"/>
      <c r="G51" s="46"/>
      <c r="H51" s="55">
        <f>(I43-I44)*40%</f>
        <v>1.11666666666667</v>
      </c>
      <c r="I51" s="91">
        <f>H51*24</f>
        <v>26.8</v>
      </c>
      <c r="J51" s="91">
        <v>21.79</v>
      </c>
      <c r="K51" s="92">
        <f>I51*J51</f>
        <v>583.97199999999998</v>
      </c>
      <c r="L51" s="209"/>
      <c r="M51" s="253"/>
      <c r="N51" s="253"/>
      <c r="O51" s="271"/>
      <c r="P51" s="17"/>
      <c r="Q51" s="17"/>
      <c r="R51" s="17"/>
      <c r="S51" s="17"/>
      <c r="T51" s="17"/>
      <c r="U51" s="17"/>
      <c r="V51" s="17"/>
      <c r="W51" s="17"/>
      <c r="X51" s="17"/>
    </row>
    <row r="52" spans="1:26" ht="17.45" customHeight="1">
      <c r="A52" s="56" t="s">
        <v>63</v>
      </c>
      <c r="B52" s="16"/>
      <c r="C52" s="17"/>
      <c r="D52" s="17"/>
      <c r="E52" s="17"/>
      <c r="F52" s="17"/>
      <c r="G52" s="57"/>
      <c r="H52" s="58">
        <f>COUNTIFS($B$12:$B$42,$H$50,$J$12:$J$42,"38,00")</f>
        <v>3</v>
      </c>
      <c r="I52" s="58">
        <f>COUNTIFS($B$12:$B$42,$I$50,$J$12:$J$42,"38,00")</f>
        <v>0</v>
      </c>
      <c r="J52" s="27"/>
      <c r="K52" s="92">
        <f>SUM(J12:J42)</f>
        <v>114</v>
      </c>
      <c r="L52" s="272"/>
      <c r="M52" s="273"/>
      <c r="N52" s="273"/>
      <c r="O52" s="274"/>
      <c r="P52" s="17"/>
      <c r="Q52" s="17"/>
      <c r="R52" s="17"/>
      <c r="S52" s="17"/>
      <c r="T52" s="17"/>
      <c r="U52" s="17"/>
      <c r="V52" s="17"/>
      <c r="W52" s="17"/>
      <c r="X52" s="17"/>
    </row>
    <row r="53" spans="1:26" ht="17.45" customHeight="1">
      <c r="A53" s="56" t="s">
        <v>64</v>
      </c>
      <c r="B53" s="16"/>
      <c r="C53" s="17"/>
      <c r="D53" s="17"/>
      <c r="E53" s="17"/>
      <c r="F53" s="17"/>
      <c r="G53" s="57"/>
      <c r="H53" s="59">
        <f>COUNTIFS(L12:L42,"&lt;&gt;"&amp;"",L12:L42,"&lt;&gt;"&amp;0)</f>
        <v>5</v>
      </c>
      <c r="I53" s="27"/>
      <c r="J53" s="27"/>
      <c r="K53" s="93">
        <f>L43</f>
        <v>45</v>
      </c>
      <c r="L53" s="292" t="s">
        <v>65</v>
      </c>
      <c r="M53" s="253"/>
      <c r="N53" s="253"/>
      <c r="O53" s="293"/>
      <c r="P53" s="17"/>
      <c r="Q53" s="17"/>
      <c r="R53" s="17"/>
      <c r="S53" s="17"/>
      <c r="T53" s="17"/>
      <c r="U53" s="17"/>
      <c r="V53" s="17"/>
      <c r="W53" s="17"/>
      <c r="X53" s="17"/>
    </row>
    <row r="54" spans="1:26" ht="17.45" customHeight="1">
      <c r="A54" s="60" t="s">
        <v>66</v>
      </c>
      <c r="B54" s="61"/>
      <c r="C54" s="23"/>
      <c r="D54" s="23"/>
      <c r="E54" s="23"/>
      <c r="F54" s="23"/>
      <c r="G54" s="48"/>
      <c r="H54" s="62">
        <f>K43</f>
        <v>0.29166666666666502</v>
      </c>
      <c r="I54" s="94">
        <f>H54*24</f>
        <v>6.99999999999996</v>
      </c>
      <c r="J54" s="94">
        <v>2.72</v>
      </c>
      <c r="K54" s="95">
        <f>I54*J54</f>
        <v>19.0399999999999</v>
      </c>
      <c r="L54" s="275"/>
      <c r="M54" s="266"/>
      <c r="N54" s="266"/>
      <c r="O54" s="276"/>
      <c r="P54" s="17"/>
      <c r="Q54" s="17"/>
      <c r="R54" s="17"/>
      <c r="S54" s="17"/>
      <c r="T54" s="17"/>
      <c r="U54" s="17"/>
      <c r="V54" s="17"/>
      <c r="W54" s="17"/>
      <c r="X54" s="17"/>
    </row>
    <row r="55" spans="1:26" ht="7.5" customHeight="1">
      <c r="A55" s="19"/>
      <c r="B55" s="16"/>
      <c r="C55" s="17"/>
      <c r="D55" s="17"/>
      <c r="E55" s="17"/>
      <c r="F55" s="17"/>
      <c r="G55" s="17"/>
      <c r="H55" s="63"/>
      <c r="I55" s="96"/>
      <c r="J55" s="96"/>
      <c r="K55" s="97"/>
      <c r="L55" s="2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6" ht="15.75" customHeight="1">
      <c r="A56" s="300" t="s">
        <v>67</v>
      </c>
      <c r="B56" s="301"/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2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303"/>
      <c r="B57" s="304"/>
      <c r="C57" s="304"/>
      <c r="D57" s="304"/>
      <c r="E57" s="304"/>
      <c r="F57" s="304"/>
      <c r="G57" s="304"/>
      <c r="H57" s="304"/>
      <c r="I57" s="304"/>
      <c r="J57" s="304"/>
      <c r="K57" s="304"/>
      <c r="L57" s="304"/>
      <c r="M57" s="304"/>
      <c r="N57" s="304"/>
      <c r="O57" s="305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303"/>
      <c r="B58" s="304"/>
      <c r="C58" s="304"/>
      <c r="D58" s="304"/>
      <c r="E58" s="304"/>
      <c r="F58" s="304"/>
      <c r="G58" s="304"/>
      <c r="H58" s="304"/>
      <c r="I58" s="304"/>
      <c r="J58" s="304"/>
      <c r="K58" s="304"/>
      <c r="L58" s="304"/>
      <c r="M58" s="304"/>
      <c r="N58" s="304"/>
      <c r="O58" s="305"/>
      <c r="P58" s="64"/>
      <c r="Q58" s="104"/>
      <c r="R58" s="105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306"/>
      <c r="B59" s="307"/>
      <c r="C59" s="307"/>
      <c r="D59" s="307"/>
      <c r="E59" s="307"/>
      <c r="F59" s="307"/>
      <c r="G59" s="307"/>
      <c r="H59" s="307"/>
      <c r="I59" s="307"/>
      <c r="J59" s="307"/>
      <c r="K59" s="307"/>
      <c r="L59" s="307"/>
      <c r="M59" s="307"/>
      <c r="N59" s="307"/>
      <c r="O59" s="308"/>
      <c r="P59" s="64"/>
      <c r="Q59" s="64"/>
      <c r="R59" s="106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64"/>
      <c r="B60" s="65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106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6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</sheetData>
  <mergeCells count="69">
    <mergeCell ref="E1:F1"/>
    <mergeCell ref="E3:F3"/>
    <mergeCell ref="E4:F4"/>
    <mergeCell ref="F10:G10"/>
    <mergeCell ref="M12:O12"/>
    <mergeCell ref="I10:I11"/>
    <mergeCell ref="J10:J11"/>
    <mergeCell ref="K10:K11"/>
    <mergeCell ref="E5:F6"/>
    <mergeCell ref="G5:H6"/>
    <mergeCell ref="I5:O6"/>
    <mergeCell ref="M10:O11"/>
    <mergeCell ref="L10:L11"/>
    <mergeCell ref="M13:O13"/>
    <mergeCell ref="M14:O14"/>
    <mergeCell ref="M15:O15"/>
    <mergeCell ref="M16:O16"/>
    <mergeCell ref="M18:O18"/>
    <mergeCell ref="M26:O26"/>
    <mergeCell ref="M27:O27"/>
    <mergeCell ref="M28:O28"/>
    <mergeCell ref="M29:O29"/>
    <mergeCell ref="M19:O19"/>
    <mergeCell ref="M20:O20"/>
    <mergeCell ref="M21:O21"/>
    <mergeCell ref="M23:O23"/>
    <mergeCell ref="M24:O24"/>
    <mergeCell ref="M25:O25"/>
    <mergeCell ref="Y7:Y8"/>
    <mergeCell ref="Y10:Y11"/>
    <mergeCell ref="L46:O48"/>
    <mergeCell ref="P47:R48"/>
    <mergeCell ref="A10:A11"/>
    <mergeCell ref="C10:C11"/>
    <mergeCell ref="E10:E11"/>
    <mergeCell ref="H10:H11"/>
    <mergeCell ref="H48:H49"/>
    <mergeCell ref="P44:R44"/>
    <mergeCell ref="L45:O45"/>
    <mergeCell ref="P45:R45"/>
    <mergeCell ref="P46:R46"/>
    <mergeCell ref="L49:O49"/>
    <mergeCell ref="P49:R49"/>
    <mergeCell ref="M40:O40"/>
    <mergeCell ref="M41:O41"/>
    <mergeCell ref="M42:O42"/>
    <mergeCell ref="A43:H43"/>
    <mergeCell ref="M43:O43"/>
    <mergeCell ref="M35:O35"/>
    <mergeCell ref="M36:O36"/>
    <mergeCell ref="M37:O37"/>
    <mergeCell ref="M38:O38"/>
    <mergeCell ref="M39:O39"/>
    <mergeCell ref="M30:O30"/>
    <mergeCell ref="M31:O31"/>
    <mergeCell ref="M32:O32"/>
    <mergeCell ref="M33:O33"/>
    <mergeCell ref="M34:O34"/>
    <mergeCell ref="L53:O54"/>
    <mergeCell ref="A56:O59"/>
    <mergeCell ref="D45:E46"/>
    <mergeCell ref="D48:E49"/>
    <mergeCell ref="F48:G49"/>
    <mergeCell ref="F45:K46"/>
    <mergeCell ref="I48:J49"/>
    <mergeCell ref="A48:C49"/>
    <mergeCell ref="A45:C46"/>
    <mergeCell ref="L50:O52"/>
    <mergeCell ref="K48:K49"/>
  </mergeCells>
  <printOptions horizontalCentered="1" verticalCentered="1"/>
  <pageMargins left="0.196850393700787" right="0.196850393700787" top="0.196850393700787" bottom="0.196850393700787" header="0" footer="0"/>
  <pageSetup paperSize="9" scale="64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Datas!$J$2:$J$4</xm:f>
          </x14:formula1>
          <xm:sqref>D12:D42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36"/>
  <sheetViews>
    <sheetView workbookViewId="0">
      <selection activeCell="K4" sqref="K4"/>
    </sheetView>
  </sheetViews>
  <sheetFormatPr defaultColWidth="9" defaultRowHeight="15"/>
  <cols>
    <col min="1" max="1" width="8.85546875" style="1"/>
    <col min="2" max="2" width="13.7109375" customWidth="1"/>
    <col min="3" max="3" width="13.5703125" customWidth="1"/>
    <col min="4" max="5" width="9.7109375" style="1" customWidth="1"/>
    <col min="10" max="10" width="10.5703125" customWidth="1"/>
    <col min="11" max="11" width="9.28515625" customWidth="1"/>
  </cols>
  <sheetData>
    <row r="1" spans="1:11" ht="28.15" customHeight="1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  <c r="G1" s="2" t="s">
        <v>135</v>
      </c>
      <c r="J1" s="2" t="s">
        <v>136</v>
      </c>
      <c r="K1" s="2" t="s">
        <v>137</v>
      </c>
    </row>
    <row r="2" spans="1:11">
      <c r="A2" s="1">
        <v>26</v>
      </c>
      <c r="B2" s="3">
        <v>45317</v>
      </c>
      <c r="C2" s="1" t="str">
        <f>TEXT(B2,"DDD")</f>
        <v>qui</v>
      </c>
      <c r="D2" s="1" t="str">
        <f>PROPER(TEXT(B2,"mmm"&amp;"/"&amp;"AA"))</f>
        <v>Jan/28</v>
      </c>
      <c r="E2" s="4" t="s">
        <v>60</v>
      </c>
      <c r="G2" s="1" t="s">
        <v>138</v>
      </c>
      <c r="J2" s="5" t="s">
        <v>124</v>
      </c>
      <c r="K2" s="6">
        <v>38</v>
      </c>
    </row>
    <row r="3" spans="1:11">
      <c r="A3" s="1">
        <v>27</v>
      </c>
      <c r="B3" s="3">
        <v>45318</v>
      </c>
      <c r="C3" s="1" t="str">
        <f t="shared" ref="C3:C66" si="0">TEXT(B3,"DDD")</f>
        <v>sex</v>
      </c>
      <c r="D3" s="1" t="str">
        <f t="shared" ref="D3:D66" si="1">PROPER(TEXT(B3,"mmm"&amp;"/"&amp;"AA"))</f>
        <v>Jan/28</v>
      </c>
      <c r="E3" s="4" t="s">
        <v>60</v>
      </c>
      <c r="G3" s="1" t="s">
        <v>139</v>
      </c>
      <c r="J3" s="5" t="s">
        <v>3</v>
      </c>
      <c r="K3" s="7">
        <v>0</v>
      </c>
    </row>
    <row r="4" spans="1:11">
      <c r="A4" s="1">
        <v>28</v>
      </c>
      <c r="B4" s="3">
        <v>45319</v>
      </c>
      <c r="C4" s="1" t="str">
        <f t="shared" si="0"/>
        <v>sáb</v>
      </c>
      <c r="D4" s="1" t="str">
        <f t="shared" si="1"/>
        <v>Jan/28</v>
      </c>
      <c r="E4" s="4" t="s">
        <v>60</v>
      </c>
      <c r="G4" s="1" t="s">
        <v>140</v>
      </c>
      <c r="J4" s="5" t="s">
        <v>2</v>
      </c>
      <c r="K4" s="6">
        <v>38</v>
      </c>
    </row>
    <row r="5" spans="1:11">
      <c r="A5" s="1">
        <v>29</v>
      </c>
      <c r="B5" s="3">
        <v>45320</v>
      </c>
      <c r="C5" s="1" t="str">
        <f t="shared" si="0"/>
        <v>dom</v>
      </c>
      <c r="D5" s="1" t="str">
        <f t="shared" si="1"/>
        <v>Jan/28</v>
      </c>
      <c r="E5" s="4" t="s">
        <v>60</v>
      </c>
      <c r="G5" s="1" t="s">
        <v>141</v>
      </c>
    </row>
    <row r="6" spans="1:11">
      <c r="A6" s="1">
        <v>30</v>
      </c>
      <c r="B6" s="3">
        <v>45321</v>
      </c>
      <c r="C6" s="1" t="str">
        <f t="shared" si="0"/>
        <v>seg</v>
      </c>
      <c r="D6" s="1" t="str">
        <f t="shared" si="1"/>
        <v>Jan/28</v>
      </c>
      <c r="E6" s="4" t="s">
        <v>60</v>
      </c>
      <c r="G6" s="1" t="s">
        <v>142</v>
      </c>
    </row>
    <row r="7" spans="1:11">
      <c r="A7" s="1">
        <v>31</v>
      </c>
      <c r="B7" s="3">
        <v>45322</v>
      </c>
      <c r="C7" s="1" t="str">
        <f t="shared" si="0"/>
        <v>ter</v>
      </c>
      <c r="D7" s="1" t="str">
        <f t="shared" si="1"/>
        <v>Fev/28</v>
      </c>
      <c r="E7" s="4" t="s">
        <v>60</v>
      </c>
      <c r="G7" s="1" t="s">
        <v>143</v>
      </c>
    </row>
    <row r="8" spans="1:11">
      <c r="A8" s="1">
        <v>1</v>
      </c>
      <c r="B8" s="3">
        <v>45323</v>
      </c>
      <c r="C8" s="1" t="str">
        <f t="shared" si="0"/>
        <v>qua</v>
      </c>
      <c r="D8" s="1" t="str">
        <f t="shared" si="1"/>
        <v>Fev/28</v>
      </c>
      <c r="E8" s="4" t="s">
        <v>60</v>
      </c>
      <c r="G8" s="1" t="s">
        <v>144</v>
      </c>
    </row>
    <row r="9" spans="1:11">
      <c r="A9" s="1">
        <v>2</v>
      </c>
      <c r="B9" s="3">
        <v>45324</v>
      </c>
      <c r="C9" s="1" t="str">
        <f t="shared" si="0"/>
        <v>qui</v>
      </c>
      <c r="D9" s="1" t="str">
        <f t="shared" si="1"/>
        <v>Fev/28</v>
      </c>
      <c r="E9" s="4" t="s">
        <v>60</v>
      </c>
      <c r="G9" s="1" t="s">
        <v>145</v>
      </c>
    </row>
    <row r="10" spans="1:11">
      <c r="A10" s="1">
        <v>3</v>
      </c>
      <c r="B10" s="3">
        <v>45325</v>
      </c>
      <c r="C10" s="1" t="str">
        <f t="shared" si="0"/>
        <v>sex</v>
      </c>
      <c r="D10" s="1" t="str">
        <f t="shared" si="1"/>
        <v>Fev/28</v>
      </c>
      <c r="E10" s="4" t="s">
        <v>60</v>
      </c>
      <c r="G10" s="1" t="s">
        <v>146</v>
      </c>
    </row>
    <row r="11" spans="1:11">
      <c r="A11" s="1">
        <v>4</v>
      </c>
      <c r="B11" s="3">
        <v>45326</v>
      </c>
      <c r="C11" s="1" t="str">
        <f t="shared" si="0"/>
        <v>sáb</v>
      </c>
      <c r="D11" s="1" t="str">
        <f t="shared" si="1"/>
        <v>Fev/28</v>
      </c>
      <c r="E11" s="4" t="s">
        <v>60</v>
      </c>
      <c r="G11" s="1" t="s">
        <v>147</v>
      </c>
    </row>
    <row r="12" spans="1:11">
      <c r="A12" s="1">
        <v>5</v>
      </c>
      <c r="B12" s="3">
        <v>45327</v>
      </c>
      <c r="C12" s="1" t="str">
        <f t="shared" si="0"/>
        <v>dom</v>
      </c>
      <c r="D12" s="1" t="str">
        <f t="shared" si="1"/>
        <v>Fev/28</v>
      </c>
      <c r="E12" s="4" t="s">
        <v>60</v>
      </c>
      <c r="G12" s="1" t="s">
        <v>148</v>
      </c>
    </row>
    <row r="13" spans="1:11">
      <c r="A13" s="1">
        <v>6</v>
      </c>
      <c r="B13" s="3">
        <v>45328</v>
      </c>
      <c r="C13" s="1" t="str">
        <f t="shared" si="0"/>
        <v>seg</v>
      </c>
      <c r="D13" s="1" t="str">
        <f t="shared" si="1"/>
        <v>Fev/28</v>
      </c>
      <c r="E13" s="4" t="s">
        <v>60</v>
      </c>
      <c r="G13" s="1" t="s">
        <v>149</v>
      </c>
    </row>
    <row r="14" spans="1:11">
      <c r="A14" s="1">
        <v>7</v>
      </c>
      <c r="B14" s="3">
        <v>45329</v>
      </c>
      <c r="C14" s="1" t="str">
        <f t="shared" si="0"/>
        <v>ter</v>
      </c>
      <c r="D14" s="1" t="str">
        <f t="shared" si="1"/>
        <v>Fev/28</v>
      </c>
      <c r="E14" s="4" t="s">
        <v>60</v>
      </c>
    </row>
    <row r="15" spans="1:11">
      <c r="A15" s="1">
        <v>8</v>
      </c>
      <c r="B15" s="3">
        <v>45330</v>
      </c>
      <c r="C15" s="1" t="str">
        <f t="shared" si="0"/>
        <v>qua</v>
      </c>
      <c r="D15" s="1" t="str">
        <f t="shared" si="1"/>
        <v>Fev/28</v>
      </c>
      <c r="E15" s="4" t="s">
        <v>60</v>
      </c>
    </row>
    <row r="16" spans="1:11">
      <c r="A16" s="1">
        <v>9</v>
      </c>
      <c r="B16" s="3">
        <v>45331</v>
      </c>
      <c r="C16" s="1" t="str">
        <f t="shared" si="0"/>
        <v>qui</v>
      </c>
      <c r="D16" s="1" t="str">
        <f t="shared" si="1"/>
        <v>Fev/28</v>
      </c>
      <c r="E16" s="4" t="s">
        <v>60</v>
      </c>
    </row>
    <row r="17" spans="1:5">
      <c r="A17" s="1">
        <v>10</v>
      </c>
      <c r="B17" s="3">
        <v>45332</v>
      </c>
      <c r="C17" s="1" t="str">
        <f t="shared" si="0"/>
        <v>sex</v>
      </c>
      <c r="D17" s="1" t="str">
        <f t="shared" si="1"/>
        <v>Fev/28</v>
      </c>
      <c r="E17" s="4" t="s">
        <v>61</v>
      </c>
    </row>
    <row r="18" spans="1:5">
      <c r="A18" s="1">
        <v>11</v>
      </c>
      <c r="B18" s="3">
        <v>45333</v>
      </c>
      <c r="C18" s="1" t="str">
        <f t="shared" si="0"/>
        <v>sáb</v>
      </c>
      <c r="D18" s="1" t="str">
        <f t="shared" si="1"/>
        <v>Fev/28</v>
      </c>
      <c r="E18" s="4" t="s">
        <v>61</v>
      </c>
    </row>
    <row r="19" spans="1:5">
      <c r="A19" s="1">
        <v>12</v>
      </c>
      <c r="B19" s="3">
        <v>45334</v>
      </c>
      <c r="C19" s="1" t="str">
        <f t="shared" si="0"/>
        <v>dom</v>
      </c>
      <c r="D19" s="1" t="str">
        <f t="shared" si="1"/>
        <v>Fev/28</v>
      </c>
      <c r="E19" s="4" t="s">
        <v>61</v>
      </c>
    </row>
    <row r="20" spans="1:5">
      <c r="A20" s="1">
        <v>13</v>
      </c>
      <c r="B20" s="3">
        <v>45335</v>
      </c>
      <c r="C20" s="1" t="str">
        <f t="shared" si="0"/>
        <v>seg</v>
      </c>
      <c r="D20" s="1" t="str">
        <f t="shared" si="1"/>
        <v>Fev/28</v>
      </c>
      <c r="E20" s="4" t="s">
        <v>61</v>
      </c>
    </row>
    <row r="21" spans="1:5">
      <c r="A21" s="1">
        <v>14</v>
      </c>
      <c r="B21" s="3">
        <v>45336</v>
      </c>
      <c r="C21" s="1" t="str">
        <f t="shared" si="0"/>
        <v>ter</v>
      </c>
      <c r="D21" s="1" t="str">
        <f t="shared" si="1"/>
        <v>Fev/28</v>
      </c>
      <c r="E21" s="4" t="s">
        <v>61</v>
      </c>
    </row>
    <row r="22" spans="1:5">
      <c r="A22" s="1">
        <v>15</v>
      </c>
      <c r="B22" s="3">
        <v>45337</v>
      </c>
      <c r="C22" s="1" t="str">
        <f t="shared" si="0"/>
        <v>qua</v>
      </c>
      <c r="D22" s="1" t="str">
        <f t="shared" si="1"/>
        <v>Fev/28</v>
      </c>
      <c r="E22" s="4" t="s">
        <v>61</v>
      </c>
    </row>
    <row r="23" spans="1:5">
      <c r="A23" s="1">
        <v>16</v>
      </c>
      <c r="B23" s="3">
        <v>45338</v>
      </c>
      <c r="C23" s="1" t="str">
        <f t="shared" si="0"/>
        <v>qui</v>
      </c>
      <c r="D23" s="1" t="str">
        <f t="shared" si="1"/>
        <v>Fev/28</v>
      </c>
      <c r="E23" s="4" t="s">
        <v>61</v>
      </c>
    </row>
    <row r="24" spans="1:5">
      <c r="A24" s="1">
        <v>17</v>
      </c>
      <c r="B24" s="3">
        <v>45339</v>
      </c>
      <c r="C24" s="1" t="str">
        <f t="shared" si="0"/>
        <v>sex</v>
      </c>
      <c r="D24" s="1" t="str">
        <f t="shared" si="1"/>
        <v>Fev/28</v>
      </c>
      <c r="E24" s="4" t="s">
        <v>61</v>
      </c>
    </row>
    <row r="25" spans="1:5">
      <c r="A25" s="1">
        <v>18</v>
      </c>
      <c r="B25" s="3">
        <v>45340</v>
      </c>
      <c r="C25" s="1" t="str">
        <f t="shared" si="0"/>
        <v>sáb</v>
      </c>
      <c r="D25" s="1" t="str">
        <f t="shared" si="1"/>
        <v>Fev/28</v>
      </c>
      <c r="E25" s="4" t="s">
        <v>61</v>
      </c>
    </row>
    <row r="26" spans="1:5">
      <c r="A26" s="1">
        <v>19</v>
      </c>
      <c r="B26" s="3">
        <v>45341</v>
      </c>
      <c r="C26" s="1" t="str">
        <f t="shared" si="0"/>
        <v>dom</v>
      </c>
      <c r="D26" s="1" t="str">
        <f t="shared" si="1"/>
        <v>Fev/28</v>
      </c>
      <c r="E26" s="4" t="s">
        <v>61</v>
      </c>
    </row>
    <row r="27" spans="1:5">
      <c r="A27" s="1">
        <v>20</v>
      </c>
      <c r="B27" s="3">
        <v>45342</v>
      </c>
      <c r="C27" s="1" t="str">
        <f t="shared" si="0"/>
        <v>seg</v>
      </c>
      <c r="D27" s="1" t="str">
        <f t="shared" si="1"/>
        <v>Fev/28</v>
      </c>
      <c r="E27" s="4" t="s">
        <v>61</v>
      </c>
    </row>
    <row r="28" spans="1:5">
      <c r="A28" s="1">
        <v>21</v>
      </c>
      <c r="B28" s="3">
        <v>45343</v>
      </c>
      <c r="C28" s="1" t="str">
        <f t="shared" si="0"/>
        <v>ter</v>
      </c>
      <c r="D28" s="1" t="str">
        <f t="shared" si="1"/>
        <v>Fev/28</v>
      </c>
      <c r="E28" s="4" t="s">
        <v>61</v>
      </c>
    </row>
    <row r="29" spans="1:5">
      <c r="A29" s="1">
        <v>22</v>
      </c>
      <c r="B29" s="3">
        <v>45344</v>
      </c>
      <c r="C29" s="1" t="str">
        <f t="shared" si="0"/>
        <v>qua</v>
      </c>
      <c r="D29" s="1" t="str">
        <f t="shared" si="1"/>
        <v>Fev/28</v>
      </c>
      <c r="E29" s="4" t="s">
        <v>61</v>
      </c>
    </row>
    <row r="30" spans="1:5">
      <c r="A30" s="1">
        <v>23</v>
      </c>
      <c r="B30" s="3">
        <v>45345</v>
      </c>
      <c r="C30" s="1" t="str">
        <f t="shared" si="0"/>
        <v>qui</v>
      </c>
      <c r="D30" s="1" t="str">
        <f t="shared" si="1"/>
        <v>Fev/28</v>
      </c>
      <c r="E30" s="4" t="s">
        <v>61</v>
      </c>
    </row>
    <row r="31" spans="1:5">
      <c r="A31" s="1">
        <v>24</v>
      </c>
      <c r="B31" s="3">
        <v>45346</v>
      </c>
      <c r="C31" s="1" t="str">
        <f t="shared" si="0"/>
        <v>sex</v>
      </c>
      <c r="D31" s="1" t="str">
        <f t="shared" si="1"/>
        <v>Fev/28</v>
      </c>
      <c r="E31" s="4" t="s">
        <v>61</v>
      </c>
    </row>
    <row r="32" spans="1:5">
      <c r="A32" s="1">
        <v>25</v>
      </c>
      <c r="B32" s="3">
        <v>45347</v>
      </c>
      <c r="C32" s="1" t="str">
        <f t="shared" si="0"/>
        <v>sáb</v>
      </c>
      <c r="D32" s="1" t="str">
        <f t="shared" si="1"/>
        <v>Fev/28</v>
      </c>
      <c r="E32" s="4" t="s">
        <v>61</v>
      </c>
    </row>
    <row r="33" spans="1:5">
      <c r="A33" s="1">
        <v>26</v>
      </c>
      <c r="B33" s="3">
        <v>45348</v>
      </c>
      <c r="C33" s="1" t="str">
        <f t="shared" si="0"/>
        <v>dom</v>
      </c>
      <c r="D33" s="1" t="str">
        <f t="shared" si="1"/>
        <v>Fev/28</v>
      </c>
      <c r="E33" s="4" t="s">
        <v>60</v>
      </c>
    </row>
    <row r="34" spans="1:5">
      <c r="A34" s="1">
        <v>27</v>
      </c>
      <c r="B34" s="3">
        <v>45349</v>
      </c>
      <c r="C34" s="1" t="str">
        <f t="shared" si="0"/>
        <v>seg</v>
      </c>
      <c r="D34" s="1" t="str">
        <f t="shared" si="1"/>
        <v>Fev/28</v>
      </c>
      <c r="E34" s="4" t="s">
        <v>60</v>
      </c>
    </row>
    <row r="35" spans="1:5">
      <c r="A35" s="1">
        <v>28</v>
      </c>
      <c r="B35" s="3">
        <v>45350</v>
      </c>
      <c r="C35" s="1" t="str">
        <f t="shared" si="0"/>
        <v>ter</v>
      </c>
      <c r="D35" s="1" t="str">
        <f t="shared" si="1"/>
        <v>Fev/28</v>
      </c>
      <c r="E35" s="4" t="s">
        <v>60</v>
      </c>
    </row>
    <row r="36" spans="1:5">
      <c r="A36" s="1">
        <v>29</v>
      </c>
      <c r="B36" s="3">
        <v>45351</v>
      </c>
      <c r="C36" s="1" t="str">
        <f t="shared" si="0"/>
        <v>qua</v>
      </c>
      <c r="D36" s="1" t="str">
        <f t="shared" si="1"/>
        <v>Mar/28</v>
      </c>
      <c r="E36" s="4" t="s">
        <v>60</v>
      </c>
    </row>
    <row r="37" spans="1:5">
      <c r="A37" s="1">
        <v>1</v>
      </c>
      <c r="B37" s="3">
        <v>45352</v>
      </c>
      <c r="C37" s="1" t="str">
        <f t="shared" si="0"/>
        <v>qui</v>
      </c>
      <c r="D37" s="1" t="str">
        <f t="shared" si="1"/>
        <v>Mar/28</v>
      </c>
      <c r="E37" s="4" t="s">
        <v>60</v>
      </c>
    </row>
    <row r="38" spans="1:5">
      <c r="A38" s="1">
        <v>2</v>
      </c>
      <c r="B38" s="3">
        <v>45353</v>
      </c>
      <c r="C38" s="1" t="str">
        <f t="shared" si="0"/>
        <v>sex</v>
      </c>
      <c r="D38" s="1" t="str">
        <f t="shared" si="1"/>
        <v>Mar/28</v>
      </c>
      <c r="E38" s="4" t="s">
        <v>60</v>
      </c>
    </row>
    <row r="39" spans="1:5">
      <c r="A39" s="1">
        <v>3</v>
      </c>
      <c r="B39" s="3">
        <v>45354</v>
      </c>
      <c r="C39" s="1" t="str">
        <f t="shared" si="0"/>
        <v>sáb</v>
      </c>
      <c r="D39" s="1" t="str">
        <f t="shared" si="1"/>
        <v>Mar/28</v>
      </c>
      <c r="E39" s="4" t="s">
        <v>60</v>
      </c>
    </row>
    <row r="40" spans="1:5">
      <c r="A40" s="1">
        <v>4</v>
      </c>
      <c r="B40" s="3">
        <v>45355</v>
      </c>
      <c r="C40" s="1" t="str">
        <f t="shared" si="0"/>
        <v>dom</v>
      </c>
      <c r="D40" s="1" t="str">
        <f t="shared" si="1"/>
        <v>Mar/28</v>
      </c>
      <c r="E40" s="4" t="s">
        <v>60</v>
      </c>
    </row>
    <row r="41" spans="1:5">
      <c r="A41" s="1">
        <v>5</v>
      </c>
      <c r="B41" s="3">
        <v>45356</v>
      </c>
      <c r="C41" s="1" t="str">
        <f t="shared" si="0"/>
        <v>seg</v>
      </c>
      <c r="D41" s="1" t="str">
        <f t="shared" si="1"/>
        <v>Mar/28</v>
      </c>
      <c r="E41" s="4" t="s">
        <v>60</v>
      </c>
    </row>
    <row r="42" spans="1:5">
      <c r="A42" s="1">
        <v>6</v>
      </c>
      <c r="B42" s="3">
        <v>45357</v>
      </c>
      <c r="C42" s="1" t="str">
        <f t="shared" si="0"/>
        <v>ter</v>
      </c>
      <c r="D42" s="1" t="str">
        <f t="shared" si="1"/>
        <v>Mar/28</v>
      </c>
      <c r="E42" s="4" t="s">
        <v>60</v>
      </c>
    </row>
    <row r="43" spans="1:5">
      <c r="A43" s="1">
        <v>7</v>
      </c>
      <c r="B43" s="3">
        <v>45358</v>
      </c>
      <c r="C43" s="1" t="str">
        <f t="shared" si="0"/>
        <v>qua</v>
      </c>
      <c r="D43" s="1" t="str">
        <f t="shared" si="1"/>
        <v>Mar/28</v>
      </c>
      <c r="E43" s="4" t="s">
        <v>60</v>
      </c>
    </row>
    <row r="44" spans="1:5">
      <c r="A44" s="1">
        <v>8</v>
      </c>
      <c r="B44" s="3">
        <v>45359</v>
      </c>
      <c r="C44" s="1" t="str">
        <f t="shared" si="0"/>
        <v>qui</v>
      </c>
      <c r="D44" s="1" t="str">
        <f t="shared" si="1"/>
        <v>Mar/28</v>
      </c>
      <c r="E44" s="4" t="s">
        <v>60</v>
      </c>
    </row>
    <row r="45" spans="1:5">
      <c r="A45" s="1">
        <v>9</v>
      </c>
      <c r="B45" s="3">
        <v>45360</v>
      </c>
      <c r="C45" s="1" t="str">
        <f t="shared" si="0"/>
        <v>sex</v>
      </c>
      <c r="D45" s="1" t="str">
        <f t="shared" si="1"/>
        <v>Mar/28</v>
      </c>
      <c r="E45" s="4" t="s">
        <v>60</v>
      </c>
    </row>
    <row r="46" spans="1:5">
      <c r="A46" s="1">
        <v>10</v>
      </c>
      <c r="B46" s="3">
        <v>45361</v>
      </c>
      <c r="C46" s="1" t="str">
        <f t="shared" si="0"/>
        <v>sáb</v>
      </c>
      <c r="D46" s="1" t="str">
        <f t="shared" si="1"/>
        <v>Mar/28</v>
      </c>
      <c r="E46" s="4" t="s">
        <v>61</v>
      </c>
    </row>
    <row r="47" spans="1:5">
      <c r="A47" s="1">
        <v>11</v>
      </c>
      <c r="B47" s="3">
        <v>45362</v>
      </c>
      <c r="C47" s="1" t="str">
        <f t="shared" si="0"/>
        <v>dom</v>
      </c>
      <c r="D47" s="1" t="str">
        <f t="shared" si="1"/>
        <v>Mar/28</v>
      </c>
      <c r="E47" s="4" t="s">
        <v>61</v>
      </c>
    </row>
    <row r="48" spans="1:5">
      <c r="A48" s="1">
        <v>12</v>
      </c>
      <c r="B48" s="3">
        <v>45363</v>
      </c>
      <c r="C48" s="1" t="str">
        <f t="shared" si="0"/>
        <v>seg</v>
      </c>
      <c r="D48" s="1" t="str">
        <f t="shared" si="1"/>
        <v>Mar/28</v>
      </c>
      <c r="E48" s="4" t="s">
        <v>61</v>
      </c>
    </row>
    <row r="49" spans="1:5">
      <c r="A49" s="1">
        <v>13</v>
      </c>
      <c r="B49" s="3">
        <v>45364</v>
      </c>
      <c r="C49" s="1" t="str">
        <f t="shared" si="0"/>
        <v>ter</v>
      </c>
      <c r="D49" s="1" t="str">
        <f t="shared" si="1"/>
        <v>Mar/28</v>
      </c>
      <c r="E49" s="4" t="s">
        <v>61</v>
      </c>
    </row>
    <row r="50" spans="1:5">
      <c r="A50" s="1">
        <v>14</v>
      </c>
      <c r="B50" s="3">
        <v>45365</v>
      </c>
      <c r="C50" s="1" t="str">
        <f t="shared" si="0"/>
        <v>qua</v>
      </c>
      <c r="D50" s="1" t="str">
        <f t="shared" si="1"/>
        <v>Mar/28</v>
      </c>
      <c r="E50" s="4" t="s">
        <v>61</v>
      </c>
    </row>
    <row r="51" spans="1:5">
      <c r="A51" s="1">
        <v>15</v>
      </c>
      <c r="B51" s="3">
        <v>45366</v>
      </c>
      <c r="C51" s="1" t="str">
        <f t="shared" si="0"/>
        <v>qui</v>
      </c>
      <c r="D51" s="1" t="str">
        <f t="shared" si="1"/>
        <v>Mar/28</v>
      </c>
      <c r="E51" s="4" t="s">
        <v>61</v>
      </c>
    </row>
    <row r="52" spans="1:5">
      <c r="A52" s="1">
        <v>16</v>
      </c>
      <c r="B52" s="3">
        <v>45367</v>
      </c>
      <c r="C52" s="1" t="str">
        <f t="shared" si="0"/>
        <v>sex</v>
      </c>
      <c r="D52" s="1" t="str">
        <f t="shared" si="1"/>
        <v>Mar/28</v>
      </c>
      <c r="E52" s="4" t="s">
        <v>61</v>
      </c>
    </row>
    <row r="53" spans="1:5">
      <c r="A53" s="1">
        <v>17</v>
      </c>
      <c r="B53" s="3">
        <v>45368</v>
      </c>
      <c r="C53" s="1" t="str">
        <f t="shared" si="0"/>
        <v>sáb</v>
      </c>
      <c r="D53" s="1" t="str">
        <f t="shared" si="1"/>
        <v>Mar/28</v>
      </c>
      <c r="E53" s="4" t="s">
        <v>61</v>
      </c>
    </row>
    <row r="54" spans="1:5">
      <c r="A54" s="1">
        <v>18</v>
      </c>
      <c r="B54" s="3">
        <v>45369</v>
      </c>
      <c r="C54" s="1" t="str">
        <f t="shared" si="0"/>
        <v>dom</v>
      </c>
      <c r="D54" s="1" t="str">
        <f t="shared" si="1"/>
        <v>Mar/28</v>
      </c>
      <c r="E54" s="4" t="s">
        <v>61</v>
      </c>
    </row>
    <row r="55" spans="1:5">
      <c r="A55" s="1">
        <v>19</v>
      </c>
      <c r="B55" s="3">
        <v>45370</v>
      </c>
      <c r="C55" s="1" t="str">
        <f t="shared" si="0"/>
        <v>seg</v>
      </c>
      <c r="D55" s="1" t="str">
        <f t="shared" si="1"/>
        <v>Mar/28</v>
      </c>
      <c r="E55" s="4" t="s">
        <v>61</v>
      </c>
    </row>
    <row r="56" spans="1:5">
      <c r="A56" s="1">
        <v>20</v>
      </c>
      <c r="B56" s="3">
        <v>45371</v>
      </c>
      <c r="C56" s="1" t="str">
        <f t="shared" si="0"/>
        <v>ter</v>
      </c>
      <c r="D56" s="1" t="str">
        <f t="shared" si="1"/>
        <v>Mar/28</v>
      </c>
      <c r="E56" s="4" t="s">
        <v>61</v>
      </c>
    </row>
    <row r="57" spans="1:5">
      <c r="A57" s="1">
        <v>21</v>
      </c>
      <c r="B57" s="3">
        <v>45372</v>
      </c>
      <c r="C57" s="1" t="str">
        <f t="shared" si="0"/>
        <v>qua</v>
      </c>
      <c r="D57" s="1" t="str">
        <f t="shared" si="1"/>
        <v>Mar/28</v>
      </c>
      <c r="E57" s="4" t="s">
        <v>61</v>
      </c>
    </row>
    <row r="58" spans="1:5">
      <c r="A58" s="1">
        <v>22</v>
      </c>
      <c r="B58" s="3">
        <v>45373</v>
      </c>
      <c r="C58" s="1" t="str">
        <f t="shared" si="0"/>
        <v>qui</v>
      </c>
      <c r="D58" s="1" t="str">
        <f t="shared" si="1"/>
        <v>Mar/28</v>
      </c>
      <c r="E58" s="4" t="s">
        <v>61</v>
      </c>
    </row>
    <row r="59" spans="1:5">
      <c r="A59" s="1">
        <v>23</v>
      </c>
      <c r="B59" s="3">
        <v>45374</v>
      </c>
      <c r="C59" s="1" t="str">
        <f t="shared" si="0"/>
        <v>sex</v>
      </c>
      <c r="D59" s="1" t="str">
        <f t="shared" si="1"/>
        <v>Mar/28</v>
      </c>
      <c r="E59" s="4" t="s">
        <v>61</v>
      </c>
    </row>
    <row r="60" spans="1:5">
      <c r="A60" s="1">
        <v>24</v>
      </c>
      <c r="B60" s="3">
        <v>45375</v>
      </c>
      <c r="C60" s="1" t="str">
        <f t="shared" si="0"/>
        <v>sáb</v>
      </c>
      <c r="D60" s="1" t="str">
        <f t="shared" si="1"/>
        <v>Mar/28</v>
      </c>
      <c r="E60" s="4" t="s">
        <v>61</v>
      </c>
    </row>
    <row r="61" spans="1:5">
      <c r="A61" s="1">
        <v>25</v>
      </c>
      <c r="B61" s="3">
        <v>45376</v>
      </c>
      <c r="C61" s="1" t="str">
        <f t="shared" si="0"/>
        <v>dom</v>
      </c>
      <c r="D61" s="1" t="str">
        <f t="shared" si="1"/>
        <v>Mar/28</v>
      </c>
      <c r="E61" s="4" t="s">
        <v>61</v>
      </c>
    </row>
    <row r="62" spans="1:5">
      <c r="A62" s="1">
        <v>26</v>
      </c>
      <c r="B62" s="3">
        <v>45377</v>
      </c>
      <c r="C62" s="1" t="str">
        <f t="shared" si="0"/>
        <v>seg</v>
      </c>
      <c r="D62" s="1" t="str">
        <f t="shared" si="1"/>
        <v>Mar/28</v>
      </c>
      <c r="E62" s="4" t="s">
        <v>60</v>
      </c>
    </row>
    <row r="63" spans="1:5">
      <c r="A63" s="1">
        <v>27</v>
      </c>
      <c r="B63" s="3">
        <v>45378</v>
      </c>
      <c r="C63" s="1" t="str">
        <f t="shared" si="0"/>
        <v>ter</v>
      </c>
      <c r="D63" s="1" t="str">
        <f t="shared" si="1"/>
        <v>Mar/28</v>
      </c>
      <c r="E63" s="4" t="s">
        <v>60</v>
      </c>
    </row>
    <row r="64" spans="1:5">
      <c r="A64" s="1">
        <v>28</v>
      </c>
      <c r="B64" s="3">
        <v>45379</v>
      </c>
      <c r="C64" s="1" t="str">
        <f t="shared" si="0"/>
        <v>qua</v>
      </c>
      <c r="D64" s="1" t="str">
        <f t="shared" si="1"/>
        <v>Mar/28</v>
      </c>
      <c r="E64" s="4" t="s">
        <v>60</v>
      </c>
    </row>
    <row r="65" spans="1:5">
      <c r="A65" s="1">
        <v>29</v>
      </c>
      <c r="B65" s="3">
        <v>45380</v>
      </c>
      <c r="C65" s="1" t="str">
        <f t="shared" si="0"/>
        <v>qui</v>
      </c>
      <c r="D65" s="1" t="str">
        <f t="shared" si="1"/>
        <v>Mar/28</v>
      </c>
      <c r="E65" s="4" t="s">
        <v>60</v>
      </c>
    </row>
    <row r="66" spans="1:5">
      <c r="A66" s="1">
        <v>30</v>
      </c>
      <c r="B66" s="3">
        <v>45381</v>
      </c>
      <c r="C66" s="1" t="str">
        <f t="shared" si="0"/>
        <v>sex</v>
      </c>
      <c r="D66" s="1" t="str">
        <f t="shared" si="1"/>
        <v>Mar/28</v>
      </c>
      <c r="E66" s="4" t="s">
        <v>60</v>
      </c>
    </row>
    <row r="67" spans="1:5">
      <c r="A67" s="1">
        <v>31</v>
      </c>
      <c r="B67" s="3">
        <v>45382</v>
      </c>
      <c r="C67" s="1" t="str">
        <f t="shared" ref="C67:C130" si="2">TEXT(B67,"DDD")</f>
        <v>sáb</v>
      </c>
      <c r="D67" s="1" t="str">
        <f t="shared" ref="D67:D130" si="3">PROPER(TEXT(B67,"mmm"&amp;"/"&amp;"AA"))</f>
        <v>Abr/28</v>
      </c>
      <c r="E67" s="4" t="s">
        <v>60</v>
      </c>
    </row>
    <row r="68" spans="1:5">
      <c r="A68" s="1">
        <v>1</v>
      </c>
      <c r="B68" s="3">
        <v>45383</v>
      </c>
      <c r="C68" s="1" t="str">
        <f t="shared" si="2"/>
        <v>dom</v>
      </c>
      <c r="D68" s="1" t="str">
        <f t="shared" si="3"/>
        <v>Abr/28</v>
      </c>
      <c r="E68" s="4" t="s">
        <v>60</v>
      </c>
    </row>
    <row r="69" spans="1:5">
      <c r="A69" s="1">
        <v>2</v>
      </c>
      <c r="B69" s="3">
        <v>45384</v>
      </c>
      <c r="C69" s="1" t="str">
        <f t="shared" si="2"/>
        <v>seg</v>
      </c>
      <c r="D69" s="1" t="str">
        <f t="shared" si="3"/>
        <v>Abr/28</v>
      </c>
      <c r="E69" s="4" t="s">
        <v>60</v>
      </c>
    </row>
    <row r="70" spans="1:5">
      <c r="A70" s="1">
        <v>3</v>
      </c>
      <c r="B70" s="3">
        <v>45385</v>
      </c>
      <c r="C70" s="1" t="str">
        <f t="shared" si="2"/>
        <v>ter</v>
      </c>
      <c r="D70" s="1" t="str">
        <f t="shared" si="3"/>
        <v>Abr/28</v>
      </c>
      <c r="E70" s="4" t="s">
        <v>60</v>
      </c>
    </row>
    <row r="71" spans="1:5">
      <c r="A71" s="1">
        <v>4</v>
      </c>
      <c r="B71" s="3">
        <v>45386</v>
      </c>
      <c r="C71" s="1" t="str">
        <f t="shared" si="2"/>
        <v>qua</v>
      </c>
      <c r="D71" s="1" t="str">
        <f t="shared" si="3"/>
        <v>Abr/28</v>
      </c>
      <c r="E71" s="4" t="s">
        <v>60</v>
      </c>
    </row>
    <row r="72" spans="1:5">
      <c r="A72" s="1">
        <v>5</v>
      </c>
      <c r="B72" s="3">
        <v>45387</v>
      </c>
      <c r="C72" s="1" t="str">
        <f t="shared" si="2"/>
        <v>qui</v>
      </c>
      <c r="D72" s="1" t="str">
        <f t="shared" si="3"/>
        <v>Abr/28</v>
      </c>
      <c r="E72" s="4" t="s">
        <v>60</v>
      </c>
    </row>
    <row r="73" spans="1:5">
      <c r="A73" s="1">
        <v>6</v>
      </c>
      <c r="B73" s="3">
        <v>45388</v>
      </c>
      <c r="C73" s="1" t="str">
        <f t="shared" si="2"/>
        <v>sex</v>
      </c>
      <c r="D73" s="1" t="str">
        <f t="shared" si="3"/>
        <v>Abr/28</v>
      </c>
      <c r="E73" s="4" t="s">
        <v>60</v>
      </c>
    </row>
    <row r="74" spans="1:5">
      <c r="A74" s="1">
        <v>7</v>
      </c>
      <c r="B74" s="3">
        <v>45389</v>
      </c>
      <c r="C74" s="1" t="str">
        <f t="shared" si="2"/>
        <v>sáb</v>
      </c>
      <c r="D74" s="1" t="str">
        <f t="shared" si="3"/>
        <v>Abr/28</v>
      </c>
      <c r="E74" s="4" t="s">
        <v>60</v>
      </c>
    </row>
    <row r="75" spans="1:5">
      <c r="A75" s="1">
        <v>8</v>
      </c>
      <c r="B75" s="3">
        <v>45390</v>
      </c>
      <c r="C75" s="1" t="str">
        <f t="shared" si="2"/>
        <v>dom</v>
      </c>
      <c r="D75" s="1" t="str">
        <f t="shared" si="3"/>
        <v>Abr/28</v>
      </c>
      <c r="E75" s="4" t="s">
        <v>60</v>
      </c>
    </row>
    <row r="76" spans="1:5">
      <c r="A76" s="1">
        <v>9</v>
      </c>
      <c r="B76" s="3">
        <v>45391</v>
      </c>
      <c r="C76" s="1" t="str">
        <f t="shared" si="2"/>
        <v>seg</v>
      </c>
      <c r="D76" s="1" t="str">
        <f t="shared" si="3"/>
        <v>Abr/28</v>
      </c>
      <c r="E76" s="4" t="s">
        <v>60</v>
      </c>
    </row>
    <row r="77" spans="1:5">
      <c r="A77" s="1">
        <v>10</v>
      </c>
      <c r="B77" s="3">
        <v>45392</v>
      </c>
      <c r="C77" s="1" t="str">
        <f t="shared" si="2"/>
        <v>ter</v>
      </c>
      <c r="D77" s="1" t="str">
        <f t="shared" si="3"/>
        <v>Abr/28</v>
      </c>
      <c r="E77" s="4" t="s">
        <v>61</v>
      </c>
    </row>
    <row r="78" spans="1:5">
      <c r="A78" s="1">
        <v>11</v>
      </c>
      <c r="B78" s="3">
        <v>45393</v>
      </c>
      <c r="C78" s="1" t="str">
        <f t="shared" si="2"/>
        <v>qua</v>
      </c>
      <c r="D78" s="1" t="str">
        <f t="shared" si="3"/>
        <v>Abr/28</v>
      </c>
      <c r="E78" s="4" t="s">
        <v>61</v>
      </c>
    </row>
    <row r="79" spans="1:5">
      <c r="A79" s="1">
        <v>12</v>
      </c>
      <c r="B79" s="3">
        <v>45394</v>
      </c>
      <c r="C79" s="1" t="str">
        <f t="shared" si="2"/>
        <v>qui</v>
      </c>
      <c r="D79" s="1" t="str">
        <f t="shared" si="3"/>
        <v>Abr/28</v>
      </c>
      <c r="E79" s="4" t="s">
        <v>61</v>
      </c>
    </row>
    <row r="80" spans="1:5">
      <c r="A80" s="1">
        <v>13</v>
      </c>
      <c r="B80" s="3">
        <v>45395</v>
      </c>
      <c r="C80" s="1" t="str">
        <f t="shared" si="2"/>
        <v>sex</v>
      </c>
      <c r="D80" s="1" t="str">
        <f t="shared" si="3"/>
        <v>Abr/28</v>
      </c>
      <c r="E80" s="4" t="s">
        <v>61</v>
      </c>
    </row>
    <row r="81" spans="1:5">
      <c r="A81" s="1">
        <v>14</v>
      </c>
      <c r="B81" s="3">
        <v>45396</v>
      </c>
      <c r="C81" s="1" t="str">
        <f t="shared" si="2"/>
        <v>sáb</v>
      </c>
      <c r="D81" s="1" t="str">
        <f t="shared" si="3"/>
        <v>Abr/28</v>
      </c>
      <c r="E81" s="4" t="s">
        <v>61</v>
      </c>
    </row>
    <row r="82" spans="1:5">
      <c r="A82" s="1">
        <v>15</v>
      </c>
      <c r="B82" s="3">
        <v>45397</v>
      </c>
      <c r="C82" s="1" t="str">
        <f t="shared" si="2"/>
        <v>dom</v>
      </c>
      <c r="D82" s="1" t="str">
        <f t="shared" si="3"/>
        <v>Abr/28</v>
      </c>
      <c r="E82" s="4" t="s">
        <v>61</v>
      </c>
    </row>
    <row r="83" spans="1:5">
      <c r="A83" s="1">
        <v>16</v>
      </c>
      <c r="B83" s="3">
        <v>45398</v>
      </c>
      <c r="C83" s="1" t="str">
        <f t="shared" si="2"/>
        <v>seg</v>
      </c>
      <c r="D83" s="1" t="str">
        <f t="shared" si="3"/>
        <v>Abr/28</v>
      </c>
      <c r="E83" s="4" t="s">
        <v>61</v>
      </c>
    </row>
    <row r="84" spans="1:5">
      <c r="A84" s="1">
        <v>17</v>
      </c>
      <c r="B84" s="3">
        <v>45399</v>
      </c>
      <c r="C84" s="1" t="str">
        <f t="shared" si="2"/>
        <v>ter</v>
      </c>
      <c r="D84" s="1" t="str">
        <f t="shared" si="3"/>
        <v>Abr/28</v>
      </c>
      <c r="E84" s="4" t="s">
        <v>61</v>
      </c>
    </row>
    <row r="85" spans="1:5">
      <c r="A85" s="1">
        <v>18</v>
      </c>
      <c r="B85" s="3">
        <v>45400</v>
      </c>
      <c r="C85" s="1" t="str">
        <f t="shared" si="2"/>
        <v>qua</v>
      </c>
      <c r="D85" s="1" t="str">
        <f t="shared" si="3"/>
        <v>Abr/28</v>
      </c>
      <c r="E85" s="4" t="s">
        <v>61</v>
      </c>
    </row>
    <row r="86" spans="1:5">
      <c r="A86" s="1">
        <v>19</v>
      </c>
      <c r="B86" s="3">
        <v>45401</v>
      </c>
      <c r="C86" s="1" t="str">
        <f t="shared" si="2"/>
        <v>qui</v>
      </c>
      <c r="D86" s="1" t="str">
        <f t="shared" si="3"/>
        <v>Abr/28</v>
      </c>
      <c r="E86" s="4" t="s">
        <v>61</v>
      </c>
    </row>
    <row r="87" spans="1:5">
      <c r="A87" s="1">
        <v>20</v>
      </c>
      <c r="B87" s="3">
        <v>45402</v>
      </c>
      <c r="C87" s="1" t="str">
        <f t="shared" si="2"/>
        <v>sex</v>
      </c>
      <c r="D87" s="1" t="str">
        <f t="shared" si="3"/>
        <v>Abr/28</v>
      </c>
      <c r="E87" s="4" t="s">
        <v>61</v>
      </c>
    </row>
    <row r="88" spans="1:5">
      <c r="A88" s="1">
        <v>21</v>
      </c>
      <c r="B88" s="3">
        <v>45403</v>
      </c>
      <c r="C88" s="1" t="str">
        <f t="shared" si="2"/>
        <v>sáb</v>
      </c>
      <c r="D88" s="1" t="str">
        <f t="shared" si="3"/>
        <v>Abr/28</v>
      </c>
      <c r="E88" s="4" t="s">
        <v>61</v>
      </c>
    </row>
    <row r="89" spans="1:5">
      <c r="A89" s="1">
        <v>22</v>
      </c>
      <c r="B89" s="3">
        <v>45404</v>
      </c>
      <c r="C89" s="1" t="str">
        <f t="shared" si="2"/>
        <v>dom</v>
      </c>
      <c r="D89" s="1" t="str">
        <f t="shared" si="3"/>
        <v>Abr/28</v>
      </c>
      <c r="E89" s="4" t="s">
        <v>61</v>
      </c>
    </row>
    <row r="90" spans="1:5">
      <c r="A90" s="1">
        <v>23</v>
      </c>
      <c r="B90" s="3">
        <v>45405</v>
      </c>
      <c r="C90" s="1" t="str">
        <f t="shared" si="2"/>
        <v>seg</v>
      </c>
      <c r="D90" s="1" t="str">
        <f t="shared" si="3"/>
        <v>Abr/28</v>
      </c>
      <c r="E90" s="4" t="s">
        <v>61</v>
      </c>
    </row>
    <row r="91" spans="1:5">
      <c r="A91" s="1">
        <v>24</v>
      </c>
      <c r="B91" s="3">
        <v>45406</v>
      </c>
      <c r="C91" s="1" t="str">
        <f t="shared" si="2"/>
        <v>ter</v>
      </c>
      <c r="D91" s="1" t="str">
        <f t="shared" si="3"/>
        <v>Abr/28</v>
      </c>
      <c r="E91" s="4" t="s">
        <v>61</v>
      </c>
    </row>
    <row r="92" spans="1:5">
      <c r="A92" s="1">
        <v>25</v>
      </c>
      <c r="B92" s="3">
        <v>45407</v>
      </c>
      <c r="C92" s="1" t="str">
        <f t="shared" si="2"/>
        <v>qua</v>
      </c>
      <c r="D92" s="1" t="str">
        <f t="shared" si="3"/>
        <v>Abr/28</v>
      </c>
      <c r="E92" s="4" t="s">
        <v>61</v>
      </c>
    </row>
    <row r="93" spans="1:5">
      <c r="A93" s="1">
        <v>26</v>
      </c>
      <c r="B93" s="3">
        <v>45408</v>
      </c>
      <c r="C93" s="1" t="str">
        <f t="shared" si="2"/>
        <v>qui</v>
      </c>
      <c r="D93" s="1" t="str">
        <f t="shared" si="3"/>
        <v>Abr/28</v>
      </c>
      <c r="E93" s="4" t="s">
        <v>60</v>
      </c>
    </row>
    <row r="94" spans="1:5">
      <c r="A94" s="1">
        <v>27</v>
      </c>
      <c r="B94" s="3">
        <v>45409</v>
      </c>
      <c r="C94" s="1" t="str">
        <f t="shared" si="2"/>
        <v>sex</v>
      </c>
      <c r="D94" s="1" t="str">
        <f t="shared" si="3"/>
        <v>Abr/28</v>
      </c>
      <c r="E94" s="4" t="s">
        <v>60</v>
      </c>
    </row>
    <row r="95" spans="1:5">
      <c r="A95" s="1">
        <v>28</v>
      </c>
      <c r="B95" s="3">
        <v>45410</v>
      </c>
      <c r="C95" s="1" t="str">
        <f t="shared" si="2"/>
        <v>sáb</v>
      </c>
      <c r="D95" s="1" t="str">
        <f t="shared" si="3"/>
        <v>Abr/28</v>
      </c>
      <c r="E95" s="4" t="s">
        <v>60</v>
      </c>
    </row>
    <row r="96" spans="1:5">
      <c r="A96" s="1">
        <v>29</v>
      </c>
      <c r="B96" s="3">
        <v>45411</v>
      </c>
      <c r="C96" s="1" t="str">
        <f t="shared" si="2"/>
        <v>dom</v>
      </c>
      <c r="D96" s="1" t="str">
        <f t="shared" si="3"/>
        <v>Abr/28</v>
      </c>
      <c r="E96" s="4" t="s">
        <v>60</v>
      </c>
    </row>
    <row r="97" spans="1:5">
      <c r="A97" s="1">
        <v>30</v>
      </c>
      <c r="B97" s="3">
        <v>45412</v>
      </c>
      <c r="C97" s="1" t="str">
        <f t="shared" si="2"/>
        <v>seg</v>
      </c>
      <c r="D97" s="1" t="str">
        <f t="shared" si="3"/>
        <v>Mai/28</v>
      </c>
      <c r="E97" s="4" t="s">
        <v>60</v>
      </c>
    </row>
    <row r="98" spans="1:5">
      <c r="A98" s="1">
        <v>1</v>
      </c>
      <c r="B98" s="3">
        <v>45413</v>
      </c>
      <c r="C98" s="1" t="str">
        <f t="shared" si="2"/>
        <v>ter</v>
      </c>
      <c r="D98" s="1" t="str">
        <f t="shared" si="3"/>
        <v>Mai/28</v>
      </c>
      <c r="E98" s="4" t="s">
        <v>60</v>
      </c>
    </row>
    <row r="99" spans="1:5">
      <c r="A99" s="1">
        <v>2</v>
      </c>
      <c r="B99" s="3">
        <v>45414</v>
      </c>
      <c r="C99" s="1" t="str">
        <f t="shared" si="2"/>
        <v>qua</v>
      </c>
      <c r="D99" s="1" t="str">
        <f t="shared" si="3"/>
        <v>Mai/28</v>
      </c>
      <c r="E99" s="4" t="s">
        <v>60</v>
      </c>
    </row>
    <row r="100" spans="1:5">
      <c r="A100" s="1">
        <v>3</v>
      </c>
      <c r="B100" s="3">
        <v>45415</v>
      </c>
      <c r="C100" s="1" t="str">
        <f t="shared" si="2"/>
        <v>qui</v>
      </c>
      <c r="D100" s="1" t="str">
        <f t="shared" si="3"/>
        <v>Mai/28</v>
      </c>
      <c r="E100" s="4" t="s">
        <v>60</v>
      </c>
    </row>
    <row r="101" spans="1:5">
      <c r="A101" s="1">
        <v>4</v>
      </c>
      <c r="B101" s="3">
        <v>45416</v>
      </c>
      <c r="C101" s="1" t="str">
        <f t="shared" si="2"/>
        <v>sex</v>
      </c>
      <c r="D101" s="1" t="str">
        <f t="shared" si="3"/>
        <v>Mai/28</v>
      </c>
      <c r="E101" s="4" t="s">
        <v>60</v>
      </c>
    </row>
    <row r="102" spans="1:5">
      <c r="A102" s="1">
        <v>5</v>
      </c>
      <c r="B102" s="3">
        <v>45417</v>
      </c>
      <c r="C102" s="1" t="str">
        <f t="shared" si="2"/>
        <v>sáb</v>
      </c>
      <c r="D102" s="1" t="str">
        <f t="shared" si="3"/>
        <v>Mai/28</v>
      </c>
      <c r="E102" s="4" t="s">
        <v>60</v>
      </c>
    </row>
    <row r="103" spans="1:5">
      <c r="A103" s="1">
        <v>6</v>
      </c>
      <c r="B103" s="3">
        <v>45418</v>
      </c>
      <c r="C103" s="1" t="str">
        <f t="shared" si="2"/>
        <v>dom</v>
      </c>
      <c r="D103" s="1" t="str">
        <f t="shared" si="3"/>
        <v>Mai/28</v>
      </c>
      <c r="E103" s="4" t="s">
        <v>60</v>
      </c>
    </row>
    <row r="104" spans="1:5">
      <c r="A104" s="1">
        <v>7</v>
      </c>
      <c r="B104" s="3">
        <v>45419</v>
      </c>
      <c r="C104" s="1" t="str">
        <f t="shared" si="2"/>
        <v>seg</v>
      </c>
      <c r="D104" s="1" t="str">
        <f t="shared" si="3"/>
        <v>Mai/28</v>
      </c>
      <c r="E104" s="4" t="s">
        <v>60</v>
      </c>
    </row>
    <row r="105" spans="1:5">
      <c r="A105" s="1">
        <v>8</v>
      </c>
      <c r="B105" s="3">
        <v>45420</v>
      </c>
      <c r="C105" s="1" t="str">
        <f t="shared" si="2"/>
        <v>ter</v>
      </c>
      <c r="D105" s="1" t="str">
        <f t="shared" si="3"/>
        <v>Mai/28</v>
      </c>
      <c r="E105" s="4" t="s">
        <v>60</v>
      </c>
    </row>
    <row r="106" spans="1:5">
      <c r="A106" s="1">
        <v>9</v>
      </c>
      <c r="B106" s="3">
        <v>45421</v>
      </c>
      <c r="C106" s="1" t="str">
        <f t="shared" si="2"/>
        <v>qua</v>
      </c>
      <c r="D106" s="1" t="str">
        <f t="shared" si="3"/>
        <v>Mai/28</v>
      </c>
      <c r="E106" s="4" t="s">
        <v>60</v>
      </c>
    </row>
    <row r="107" spans="1:5">
      <c r="A107" s="1">
        <v>10</v>
      </c>
      <c r="B107" s="3">
        <v>45422</v>
      </c>
      <c r="C107" s="1" t="str">
        <f t="shared" si="2"/>
        <v>qui</v>
      </c>
      <c r="D107" s="1" t="str">
        <f t="shared" si="3"/>
        <v>Mai/28</v>
      </c>
      <c r="E107" s="4" t="s">
        <v>61</v>
      </c>
    </row>
    <row r="108" spans="1:5">
      <c r="A108" s="1">
        <v>11</v>
      </c>
      <c r="B108" s="3">
        <v>45423</v>
      </c>
      <c r="C108" s="1" t="str">
        <f t="shared" si="2"/>
        <v>sex</v>
      </c>
      <c r="D108" s="1" t="str">
        <f t="shared" si="3"/>
        <v>Mai/28</v>
      </c>
      <c r="E108" s="4" t="s">
        <v>61</v>
      </c>
    </row>
    <row r="109" spans="1:5">
      <c r="A109" s="1">
        <v>12</v>
      </c>
      <c r="B109" s="3">
        <v>45424</v>
      </c>
      <c r="C109" s="1" t="str">
        <f t="shared" si="2"/>
        <v>sáb</v>
      </c>
      <c r="D109" s="1" t="str">
        <f t="shared" si="3"/>
        <v>Mai/28</v>
      </c>
      <c r="E109" s="4" t="s">
        <v>61</v>
      </c>
    </row>
    <row r="110" spans="1:5">
      <c r="A110" s="1">
        <v>13</v>
      </c>
      <c r="B110" s="3">
        <v>45425</v>
      </c>
      <c r="C110" s="1" t="str">
        <f t="shared" si="2"/>
        <v>dom</v>
      </c>
      <c r="D110" s="1" t="str">
        <f t="shared" si="3"/>
        <v>Mai/28</v>
      </c>
      <c r="E110" s="4" t="s">
        <v>61</v>
      </c>
    </row>
    <row r="111" spans="1:5">
      <c r="A111" s="1">
        <v>14</v>
      </c>
      <c r="B111" s="3">
        <v>45426</v>
      </c>
      <c r="C111" s="1" t="str">
        <f t="shared" si="2"/>
        <v>seg</v>
      </c>
      <c r="D111" s="1" t="str">
        <f t="shared" si="3"/>
        <v>Mai/28</v>
      </c>
      <c r="E111" s="4" t="s">
        <v>61</v>
      </c>
    </row>
    <row r="112" spans="1:5">
      <c r="A112" s="1">
        <v>15</v>
      </c>
      <c r="B112" s="3">
        <v>45427</v>
      </c>
      <c r="C112" s="1" t="str">
        <f t="shared" si="2"/>
        <v>ter</v>
      </c>
      <c r="D112" s="1" t="str">
        <f t="shared" si="3"/>
        <v>Mai/28</v>
      </c>
      <c r="E112" s="4" t="s">
        <v>61</v>
      </c>
    </row>
    <row r="113" spans="1:5">
      <c r="A113" s="1">
        <v>16</v>
      </c>
      <c r="B113" s="3">
        <v>45428</v>
      </c>
      <c r="C113" s="1" t="str">
        <f t="shared" si="2"/>
        <v>qua</v>
      </c>
      <c r="D113" s="1" t="str">
        <f t="shared" si="3"/>
        <v>Mai/28</v>
      </c>
      <c r="E113" s="4" t="s">
        <v>61</v>
      </c>
    </row>
    <row r="114" spans="1:5">
      <c r="A114" s="1">
        <v>17</v>
      </c>
      <c r="B114" s="3">
        <v>45429</v>
      </c>
      <c r="C114" s="1" t="str">
        <f t="shared" si="2"/>
        <v>qui</v>
      </c>
      <c r="D114" s="1" t="str">
        <f t="shared" si="3"/>
        <v>Mai/28</v>
      </c>
      <c r="E114" s="4" t="s">
        <v>61</v>
      </c>
    </row>
    <row r="115" spans="1:5">
      <c r="A115" s="1">
        <v>18</v>
      </c>
      <c r="B115" s="3">
        <v>45430</v>
      </c>
      <c r="C115" s="1" t="str">
        <f t="shared" si="2"/>
        <v>sex</v>
      </c>
      <c r="D115" s="1" t="str">
        <f t="shared" si="3"/>
        <v>Mai/28</v>
      </c>
      <c r="E115" s="4" t="s">
        <v>61</v>
      </c>
    </row>
    <row r="116" spans="1:5">
      <c r="A116" s="1">
        <v>19</v>
      </c>
      <c r="B116" s="3">
        <v>45431</v>
      </c>
      <c r="C116" s="1" t="str">
        <f t="shared" si="2"/>
        <v>sáb</v>
      </c>
      <c r="D116" s="1" t="str">
        <f t="shared" si="3"/>
        <v>Mai/28</v>
      </c>
      <c r="E116" s="4" t="s">
        <v>61</v>
      </c>
    </row>
    <row r="117" spans="1:5">
      <c r="A117" s="1">
        <v>20</v>
      </c>
      <c r="B117" s="3">
        <v>45432</v>
      </c>
      <c r="C117" s="1" t="str">
        <f t="shared" si="2"/>
        <v>dom</v>
      </c>
      <c r="D117" s="1" t="str">
        <f t="shared" si="3"/>
        <v>Mai/28</v>
      </c>
      <c r="E117" s="4" t="s">
        <v>61</v>
      </c>
    </row>
    <row r="118" spans="1:5">
      <c r="A118" s="1">
        <v>21</v>
      </c>
      <c r="B118" s="3">
        <v>45433</v>
      </c>
      <c r="C118" s="1" t="str">
        <f t="shared" si="2"/>
        <v>seg</v>
      </c>
      <c r="D118" s="1" t="str">
        <f t="shared" si="3"/>
        <v>Mai/28</v>
      </c>
      <c r="E118" s="4" t="s">
        <v>61</v>
      </c>
    </row>
    <row r="119" spans="1:5">
      <c r="A119" s="1">
        <v>22</v>
      </c>
      <c r="B119" s="3">
        <v>45434</v>
      </c>
      <c r="C119" s="1" t="str">
        <f t="shared" si="2"/>
        <v>ter</v>
      </c>
      <c r="D119" s="1" t="str">
        <f t="shared" si="3"/>
        <v>Mai/28</v>
      </c>
      <c r="E119" s="4" t="s">
        <v>61</v>
      </c>
    </row>
    <row r="120" spans="1:5">
      <c r="A120" s="1">
        <v>23</v>
      </c>
      <c r="B120" s="3">
        <v>45435</v>
      </c>
      <c r="C120" s="1" t="str">
        <f t="shared" si="2"/>
        <v>qua</v>
      </c>
      <c r="D120" s="1" t="str">
        <f t="shared" si="3"/>
        <v>Mai/28</v>
      </c>
      <c r="E120" s="4" t="s">
        <v>61</v>
      </c>
    </row>
    <row r="121" spans="1:5">
      <c r="A121" s="1">
        <v>24</v>
      </c>
      <c r="B121" s="3">
        <v>45436</v>
      </c>
      <c r="C121" s="1" t="str">
        <f t="shared" si="2"/>
        <v>qui</v>
      </c>
      <c r="D121" s="1" t="str">
        <f t="shared" si="3"/>
        <v>Mai/28</v>
      </c>
      <c r="E121" s="4" t="s">
        <v>61</v>
      </c>
    </row>
    <row r="122" spans="1:5">
      <c r="A122" s="1">
        <v>25</v>
      </c>
      <c r="B122" s="3">
        <v>45437</v>
      </c>
      <c r="C122" s="1" t="str">
        <f t="shared" si="2"/>
        <v>sex</v>
      </c>
      <c r="D122" s="1" t="str">
        <f t="shared" si="3"/>
        <v>Mai/28</v>
      </c>
      <c r="E122" s="4" t="s">
        <v>61</v>
      </c>
    </row>
    <row r="123" spans="1:5">
      <c r="A123" s="1">
        <v>26</v>
      </c>
      <c r="B123" s="3">
        <v>45438</v>
      </c>
      <c r="C123" s="1" t="str">
        <f t="shared" si="2"/>
        <v>sáb</v>
      </c>
      <c r="D123" s="1" t="str">
        <f t="shared" si="3"/>
        <v>Mai/28</v>
      </c>
      <c r="E123" s="4" t="s">
        <v>60</v>
      </c>
    </row>
    <row r="124" spans="1:5">
      <c r="A124" s="1">
        <v>27</v>
      </c>
      <c r="B124" s="3">
        <v>45439</v>
      </c>
      <c r="C124" s="1" t="str">
        <f t="shared" si="2"/>
        <v>dom</v>
      </c>
      <c r="D124" s="1" t="str">
        <f t="shared" si="3"/>
        <v>Mai/28</v>
      </c>
      <c r="E124" s="4" t="s">
        <v>60</v>
      </c>
    </row>
    <row r="125" spans="1:5">
      <c r="A125" s="1">
        <v>28</v>
      </c>
      <c r="B125" s="3">
        <v>45440</v>
      </c>
      <c r="C125" s="1" t="str">
        <f t="shared" si="2"/>
        <v>seg</v>
      </c>
      <c r="D125" s="1" t="str">
        <f t="shared" si="3"/>
        <v>Mai/28</v>
      </c>
      <c r="E125" s="4" t="s">
        <v>60</v>
      </c>
    </row>
    <row r="126" spans="1:5">
      <c r="A126" s="1">
        <v>29</v>
      </c>
      <c r="B126" s="3">
        <v>45441</v>
      </c>
      <c r="C126" s="1" t="str">
        <f t="shared" si="2"/>
        <v>ter</v>
      </c>
      <c r="D126" s="1" t="str">
        <f t="shared" si="3"/>
        <v>Mai/28</v>
      </c>
      <c r="E126" s="4" t="s">
        <v>60</v>
      </c>
    </row>
    <row r="127" spans="1:5">
      <c r="A127" s="1">
        <v>30</v>
      </c>
      <c r="B127" s="3">
        <v>45442</v>
      </c>
      <c r="C127" s="1" t="str">
        <f t="shared" si="2"/>
        <v>qua</v>
      </c>
      <c r="D127" s="1" t="str">
        <f t="shared" si="3"/>
        <v>Mai/28</v>
      </c>
      <c r="E127" s="4" t="s">
        <v>60</v>
      </c>
    </row>
    <row r="128" spans="1:5">
      <c r="A128" s="1">
        <v>31</v>
      </c>
      <c r="B128" s="3">
        <v>45443</v>
      </c>
      <c r="C128" s="1" t="str">
        <f t="shared" si="2"/>
        <v>qui</v>
      </c>
      <c r="D128" s="1" t="str">
        <f t="shared" si="3"/>
        <v>Jun/28</v>
      </c>
      <c r="E128" s="4" t="s">
        <v>60</v>
      </c>
    </row>
    <row r="129" spans="1:5">
      <c r="A129" s="1">
        <v>1</v>
      </c>
      <c r="B129" s="3">
        <v>45444</v>
      </c>
      <c r="C129" s="1" t="str">
        <f t="shared" si="2"/>
        <v>sex</v>
      </c>
      <c r="D129" s="1" t="str">
        <f t="shared" si="3"/>
        <v>Jun/28</v>
      </c>
      <c r="E129" s="4" t="s">
        <v>60</v>
      </c>
    </row>
    <row r="130" spans="1:5">
      <c r="A130" s="1">
        <v>2</v>
      </c>
      <c r="B130" s="3">
        <v>45445</v>
      </c>
      <c r="C130" s="1" t="str">
        <f t="shared" si="2"/>
        <v>sáb</v>
      </c>
      <c r="D130" s="1" t="str">
        <f t="shared" si="3"/>
        <v>Jun/28</v>
      </c>
      <c r="E130" s="4" t="s">
        <v>60</v>
      </c>
    </row>
    <row r="131" spans="1:5">
      <c r="A131" s="1">
        <v>3</v>
      </c>
      <c r="B131" s="3">
        <v>45446</v>
      </c>
      <c r="C131" s="1" t="str">
        <f t="shared" ref="C131:C194" si="4">TEXT(B131,"DDD")</f>
        <v>dom</v>
      </c>
      <c r="D131" s="1" t="str">
        <f t="shared" ref="D131:D194" si="5">PROPER(TEXT(B131,"mmm"&amp;"/"&amp;"AA"))</f>
        <v>Jun/28</v>
      </c>
      <c r="E131" s="4" t="s">
        <v>60</v>
      </c>
    </row>
    <row r="132" spans="1:5">
      <c r="A132" s="1">
        <v>4</v>
      </c>
      <c r="B132" s="3">
        <v>45447</v>
      </c>
      <c r="C132" s="1" t="str">
        <f t="shared" si="4"/>
        <v>seg</v>
      </c>
      <c r="D132" s="1" t="str">
        <f t="shared" si="5"/>
        <v>Jun/28</v>
      </c>
      <c r="E132" s="4" t="s">
        <v>60</v>
      </c>
    </row>
    <row r="133" spans="1:5">
      <c r="A133" s="1">
        <v>5</v>
      </c>
      <c r="B133" s="3">
        <v>45448</v>
      </c>
      <c r="C133" s="1" t="str">
        <f t="shared" si="4"/>
        <v>ter</v>
      </c>
      <c r="D133" s="1" t="str">
        <f t="shared" si="5"/>
        <v>Jun/28</v>
      </c>
      <c r="E133" s="4" t="s">
        <v>60</v>
      </c>
    </row>
    <row r="134" spans="1:5">
      <c r="A134" s="1">
        <v>6</v>
      </c>
      <c r="B134" s="3">
        <v>45449</v>
      </c>
      <c r="C134" s="1" t="str">
        <f t="shared" si="4"/>
        <v>qua</v>
      </c>
      <c r="D134" s="1" t="str">
        <f t="shared" si="5"/>
        <v>Jun/28</v>
      </c>
      <c r="E134" s="4" t="s">
        <v>60</v>
      </c>
    </row>
    <row r="135" spans="1:5">
      <c r="A135" s="1">
        <v>7</v>
      </c>
      <c r="B135" s="3">
        <v>45450</v>
      </c>
      <c r="C135" s="1" t="str">
        <f t="shared" si="4"/>
        <v>qui</v>
      </c>
      <c r="D135" s="1" t="str">
        <f t="shared" si="5"/>
        <v>Jun/28</v>
      </c>
      <c r="E135" s="4" t="s">
        <v>60</v>
      </c>
    </row>
    <row r="136" spans="1:5">
      <c r="A136" s="1">
        <v>8</v>
      </c>
      <c r="B136" s="3">
        <v>45451</v>
      </c>
      <c r="C136" s="1" t="str">
        <f t="shared" si="4"/>
        <v>sex</v>
      </c>
      <c r="D136" s="1" t="str">
        <f t="shared" si="5"/>
        <v>Jun/28</v>
      </c>
      <c r="E136" s="4" t="s">
        <v>60</v>
      </c>
    </row>
    <row r="137" spans="1:5">
      <c r="A137" s="1">
        <v>9</v>
      </c>
      <c r="B137" s="3">
        <v>45452</v>
      </c>
      <c r="C137" s="1" t="str">
        <f t="shared" si="4"/>
        <v>sáb</v>
      </c>
      <c r="D137" s="1" t="str">
        <f t="shared" si="5"/>
        <v>Jun/28</v>
      </c>
      <c r="E137" s="4" t="s">
        <v>60</v>
      </c>
    </row>
    <row r="138" spans="1:5">
      <c r="A138" s="1">
        <v>10</v>
      </c>
      <c r="B138" s="3">
        <v>45453</v>
      </c>
      <c r="C138" s="1" t="str">
        <f t="shared" si="4"/>
        <v>dom</v>
      </c>
      <c r="D138" s="1" t="str">
        <f t="shared" si="5"/>
        <v>Jun/28</v>
      </c>
      <c r="E138" s="4" t="s">
        <v>61</v>
      </c>
    </row>
    <row r="139" spans="1:5">
      <c r="A139" s="1">
        <v>11</v>
      </c>
      <c r="B139" s="3">
        <v>45454</v>
      </c>
      <c r="C139" s="1" t="str">
        <f t="shared" si="4"/>
        <v>seg</v>
      </c>
      <c r="D139" s="1" t="str">
        <f t="shared" si="5"/>
        <v>Jun/28</v>
      </c>
      <c r="E139" s="4" t="s">
        <v>61</v>
      </c>
    </row>
    <row r="140" spans="1:5">
      <c r="A140" s="1">
        <v>12</v>
      </c>
      <c r="B140" s="3">
        <v>45455</v>
      </c>
      <c r="C140" s="1" t="str">
        <f t="shared" si="4"/>
        <v>ter</v>
      </c>
      <c r="D140" s="1" t="str">
        <f t="shared" si="5"/>
        <v>Jun/28</v>
      </c>
      <c r="E140" s="4" t="s">
        <v>61</v>
      </c>
    </row>
    <row r="141" spans="1:5">
      <c r="A141" s="1">
        <v>13</v>
      </c>
      <c r="B141" s="3">
        <v>45456</v>
      </c>
      <c r="C141" s="1" t="str">
        <f t="shared" si="4"/>
        <v>qua</v>
      </c>
      <c r="D141" s="1" t="str">
        <f t="shared" si="5"/>
        <v>Jun/28</v>
      </c>
      <c r="E141" s="4" t="s">
        <v>61</v>
      </c>
    </row>
    <row r="142" spans="1:5">
      <c r="A142" s="1">
        <v>14</v>
      </c>
      <c r="B142" s="3">
        <v>45457</v>
      </c>
      <c r="C142" s="1" t="str">
        <f t="shared" si="4"/>
        <v>qui</v>
      </c>
      <c r="D142" s="1" t="str">
        <f t="shared" si="5"/>
        <v>Jun/28</v>
      </c>
      <c r="E142" s="4" t="s">
        <v>61</v>
      </c>
    </row>
    <row r="143" spans="1:5">
      <c r="A143" s="1">
        <v>15</v>
      </c>
      <c r="B143" s="3">
        <v>45458</v>
      </c>
      <c r="C143" s="1" t="str">
        <f t="shared" si="4"/>
        <v>sex</v>
      </c>
      <c r="D143" s="1" t="str">
        <f t="shared" si="5"/>
        <v>Jun/28</v>
      </c>
      <c r="E143" s="4" t="s">
        <v>61</v>
      </c>
    </row>
    <row r="144" spans="1:5">
      <c r="A144" s="1">
        <v>16</v>
      </c>
      <c r="B144" s="3">
        <v>45459</v>
      </c>
      <c r="C144" s="1" t="str">
        <f t="shared" si="4"/>
        <v>sáb</v>
      </c>
      <c r="D144" s="1" t="str">
        <f t="shared" si="5"/>
        <v>Jun/28</v>
      </c>
      <c r="E144" s="4" t="s">
        <v>61</v>
      </c>
    </row>
    <row r="145" spans="1:5">
      <c r="A145" s="1">
        <v>17</v>
      </c>
      <c r="B145" s="3">
        <v>45460</v>
      </c>
      <c r="C145" s="1" t="str">
        <f t="shared" si="4"/>
        <v>dom</v>
      </c>
      <c r="D145" s="1" t="str">
        <f t="shared" si="5"/>
        <v>Jun/28</v>
      </c>
      <c r="E145" s="4" t="s">
        <v>61</v>
      </c>
    </row>
    <row r="146" spans="1:5">
      <c r="A146" s="1">
        <v>18</v>
      </c>
      <c r="B146" s="3">
        <v>45461</v>
      </c>
      <c r="C146" s="1" t="str">
        <f t="shared" si="4"/>
        <v>seg</v>
      </c>
      <c r="D146" s="1" t="str">
        <f t="shared" si="5"/>
        <v>Jun/28</v>
      </c>
      <c r="E146" s="4" t="s">
        <v>61</v>
      </c>
    </row>
    <row r="147" spans="1:5">
      <c r="A147" s="1">
        <v>19</v>
      </c>
      <c r="B147" s="3">
        <v>45462</v>
      </c>
      <c r="C147" s="1" t="str">
        <f t="shared" si="4"/>
        <v>ter</v>
      </c>
      <c r="D147" s="1" t="str">
        <f t="shared" si="5"/>
        <v>Jun/28</v>
      </c>
      <c r="E147" s="4" t="s">
        <v>61</v>
      </c>
    </row>
    <row r="148" spans="1:5">
      <c r="A148" s="1">
        <v>20</v>
      </c>
      <c r="B148" s="3">
        <v>45463</v>
      </c>
      <c r="C148" s="1" t="str">
        <f t="shared" si="4"/>
        <v>qua</v>
      </c>
      <c r="D148" s="1" t="str">
        <f t="shared" si="5"/>
        <v>Jun/28</v>
      </c>
      <c r="E148" s="4" t="s">
        <v>61</v>
      </c>
    </row>
    <row r="149" spans="1:5">
      <c r="A149" s="1">
        <v>21</v>
      </c>
      <c r="B149" s="3">
        <v>45464</v>
      </c>
      <c r="C149" s="1" t="str">
        <f t="shared" si="4"/>
        <v>qui</v>
      </c>
      <c r="D149" s="1" t="str">
        <f t="shared" si="5"/>
        <v>Jun/28</v>
      </c>
      <c r="E149" s="4" t="s">
        <v>61</v>
      </c>
    </row>
    <row r="150" spans="1:5">
      <c r="A150" s="1">
        <v>22</v>
      </c>
      <c r="B150" s="3">
        <v>45465</v>
      </c>
      <c r="C150" s="1" t="str">
        <f t="shared" si="4"/>
        <v>sex</v>
      </c>
      <c r="D150" s="1" t="str">
        <f t="shared" si="5"/>
        <v>Jun/28</v>
      </c>
      <c r="E150" s="4" t="s">
        <v>61</v>
      </c>
    </row>
    <row r="151" spans="1:5">
      <c r="A151" s="1">
        <v>23</v>
      </c>
      <c r="B151" s="3">
        <v>45466</v>
      </c>
      <c r="C151" s="1" t="str">
        <f t="shared" si="4"/>
        <v>sáb</v>
      </c>
      <c r="D151" s="1" t="str">
        <f t="shared" si="5"/>
        <v>Jun/28</v>
      </c>
      <c r="E151" s="4" t="s">
        <v>61</v>
      </c>
    </row>
    <row r="152" spans="1:5">
      <c r="A152" s="1">
        <v>24</v>
      </c>
      <c r="B152" s="3">
        <v>45467</v>
      </c>
      <c r="C152" s="1" t="str">
        <f t="shared" si="4"/>
        <v>dom</v>
      </c>
      <c r="D152" s="1" t="str">
        <f t="shared" si="5"/>
        <v>Jun/28</v>
      </c>
      <c r="E152" s="4" t="s">
        <v>61</v>
      </c>
    </row>
    <row r="153" spans="1:5">
      <c r="A153" s="1">
        <v>25</v>
      </c>
      <c r="B153" s="3">
        <v>45468</v>
      </c>
      <c r="C153" s="1" t="str">
        <f t="shared" si="4"/>
        <v>seg</v>
      </c>
      <c r="D153" s="1" t="str">
        <f t="shared" si="5"/>
        <v>Jun/28</v>
      </c>
      <c r="E153" s="4" t="s">
        <v>61</v>
      </c>
    </row>
    <row r="154" spans="1:5">
      <c r="A154" s="1">
        <v>26</v>
      </c>
      <c r="B154" s="3">
        <v>45469</v>
      </c>
      <c r="C154" s="1" t="str">
        <f t="shared" si="4"/>
        <v>ter</v>
      </c>
      <c r="D154" s="1" t="str">
        <f t="shared" si="5"/>
        <v>Jun/28</v>
      </c>
      <c r="E154" s="4" t="s">
        <v>60</v>
      </c>
    </row>
    <row r="155" spans="1:5">
      <c r="A155" s="1">
        <v>27</v>
      </c>
      <c r="B155" s="3">
        <v>45470</v>
      </c>
      <c r="C155" s="1" t="str">
        <f t="shared" si="4"/>
        <v>qua</v>
      </c>
      <c r="D155" s="1" t="str">
        <f t="shared" si="5"/>
        <v>Jun/28</v>
      </c>
      <c r="E155" s="4" t="s">
        <v>60</v>
      </c>
    </row>
    <row r="156" spans="1:5">
      <c r="A156" s="1">
        <v>28</v>
      </c>
      <c r="B156" s="3">
        <v>45471</v>
      </c>
      <c r="C156" s="1" t="str">
        <f t="shared" si="4"/>
        <v>qui</v>
      </c>
      <c r="D156" s="1" t="str">
        <f t="shared" si="5"/>
        <v>Jun/28</v>
      </c>
      <c r="E156" s="4" t="s">
        <v>60</v>
      </c>
    </row>
    <row r="157" spans="1:5">
      <c r="A157" s="1">
        <v>29</v>
      </c>
      <c r="B157" s="3">
        <v>45472</v>
      </c>
      <c r="C157" s="1" t="str">
        <f t="shared" si="4"/>
        <v>sex</v>
      </c>
      <c r="D157" s="1" t="str">
        <f t="shared" si="5"/>
        <v>Jun/28</v>
      </c>
      <c r="E157" s="4" t="s">
        <v>60</v>
      </c>
    </row>
    <row r="158" spans="1:5">
      <c r="A158" s="1">
        <v>30</v>
      </c>
      <c r="B158" s="3">
        <v>45473</v>
      </c>
      <c r="C158" s="1" t="str">
        <f t="shared" si="4"/>
        <v>sáb</v>
      </c>
      <c r="D158" s="1" t="str">
        <f t="shared" si="5"/>
        <v>Jul/28</v>
      </c>
      <c r="E158" s="4" t="s">
        <v>60</v>
      </c>
    </row>
    <row r="159" spans="1:5">
      <c r="A159" s="1">
        <v>1</v>
      </c>
      <c r="B159" s="3">
        <v>45474</v>
      </c>
      <c r="C159" s="1" t="str">
        <f t="shared" si="4"/>
        <v>dom</v>
      </c>
      <c r="D159" s="1" t="str">
        <f t="shared" si="5"/>
        <v>Jul/28</v>
      </c>
      <c r="E159" s="4" t="s">
        <v>60</v>
      </c>
    </row>
    <row r="160" spans="1:5">
      <c r="A160" s="1">
        <v>2</v>
      </c>
      <c r="B160" s="3">
        <v>45475</v>
      </c>
      <c r="C160" s="1" t="str">
        <f t="shared" si="4"/>
        <v>seg</v>
      </c>
      <c r="D160" s="1" t="str">
        <f t="shared" si="5"/>
        <v>Jul/28</v>
      </c>
      <c r="E160" s="4" t="s">
        <v>60</v>
      </c>
    </row>
    <row r="161" spans="1:5">
      <c r="A161" s="1">
        <v>3</v>
      </c>
      <c r="B161" s="3">
        <v>45476</v>
      </c>
      <c r="C161" s="1" t="str">
        <f t="shared" si="4"/>
        <v>ter</v>
      </c>
      <c r="D161" s="1" t="str">
        <f t="shared" si="5"/>
        <v>Jul/28</v>
      </c>
      <c r="E161" s="4" t="s">
        <v>60</v>
      </c>
    </row>
    <row r="162" spans="1:5">
      <c r="A162" s="1">
        <v>4</v>
      </c>
      <c r="B162" s="3">
        <v>45477</v>
      </c>
      <c r="C162" s="1" t="str">
        <f t="shared" si="4"/>
        <v>qua</v>
      </c>
      <c r="D162" s="1" t="str">
        <f t="shared" si="5"/>
        <v>Jul/28</v>
      </c>
      <c r="E162" s="4" t="s">
        <v>60</v>
      </c>
    </row>
    <row r="163" spans="1:5">
      <c r="A163" s="1">
        <v>5</v>
      </c>
      <c r="B163" s="3">
        <v>45478</v>
      </c>
      <c r="C163" s="1" t="str">
        <f t="shared" si="4"/>
        <v>qui</v>
      </c>
      <c r="D163" s="1" t="str">
        <f t="shared" si="5"/>
        <v>Jul/28</v>
      </c>
      <c r="E163" s="4" t="s">
        <v>60</v>
      </c>
    </row>
    <row r="164" spans="1:5">
      <c r="A164" s="1">
        <v>6</v>
      </c>
      <c r="B164" s="3">
        <v>45479</v>
      </c>
      <c r="C164" s="1" t="str">
        <f t="shared" si="4"/>
        <v>sex</v>
      </c>
      <c r="D164" s="1" t="str">
        <f t="shared" si="5"/>
        <v>Jul/28</v>
      </c>
      <c r="E164" s="4" t="s">
        <v>60</v>
      </c>
    </row>
    <row r="165" spans="1:5">
      <c r="A165" s="1">
        <v>7</v>
      </c>
      <c r="B165" s="3">
        <v>45480</v>
      </c>
      <c r="C165" s="1" t="str">
        <f t="shared" si="4"/>
        <v>sáb</v>
      </c>
      <c r="D165" s="1" t="str">
        <f t="shared" si="5"/>
        <v>Jul/28</v>
      </c>
      <c r="E165" s="4" t="s">
        <v>60</v>
      </c>
    </row>
    <row r="166" spans="1:5">
      <c r="A166" s="1">
        <v>8</v>
      </c>
      <c r="B166" s="3">
        <v>45481</v>
      </c>
      <c r="C166" s="1" t="str">
        <f t="shared" si="4"/>
        <v>dom</v>
      </c>
      <c r="D166" s="1" t="str">
        <f t="shared" si="5"/>
        <v>Jul/28</v>
      </c>
      <c r="E166" s="4" t="s">
        <v>60</v>
      </c>
    </row>
    <row r="167" spans="1:5">
      <c r="A167" s="1">
        <v>9</v>
      </c>
      <c r="B167" s="3">
        <v>45482</v>
      </c>
      <c r="C167" s="1" t="str">
        <f t="shared" si="4"/>
        <v>seg</v>
      </c>
      <c r="D167" s="1" t="str">
        <f t="shared" si="5"/>
        <v>Jul/28</v>
      </c>
      <c r="E167" s="4" t="s">
        <v>60</v>
      </c>
    </row>
    <row r="168" spans="1:5">
      <c r="A168" s="1">
        <v>10</v>
      </c>
      <c r="B168" s="3">
        <v>45483</v>
      </c>
      <c r="C168" s="1" t="str">
        <f t="shared" si="4"/>
        <v>ter</v>
      </c>
      <c r="D168" s="1" t="str">
        <f t="shared" si="5"/>
        <v>Jul/28</v>
      </c>
      <c r="E168" s="4" t="s">
        <v>61</v>
      </c>
    </row>
    <row r="169" spans="1:5">
      <c r="A169" s="1">
        <v>11</v>
      </c>
      <c r="B169" s="3">
        <v>45484</v>
      </c>
      <c r="C169" s="1" t="str">
        <f t="shared" si="4"/>
        <v>qua</v>
      </c>
      <c r="D169" s="1" t="str">
        <f t="shared" si="5"/>
        <v>Jul/28</v>
      </c>
      <c r="E169" s="4" t="s">
        <v>61</v>
      </c>
    </row>
    <row r="170" spans="1:5">
      <c r="A170" s="1">
        <v>12</v>
      </c>
      <c r="B170" s="3">
        <v>45485</v>
      </c>
      <c r="C170" s="1" t="str">
        <f t="shared" si="4"/>
        <v>qui</v>
      </c>
      <c r="D170" s="1" t="str">
        <f t="shared" si="5"/>
        <v>Jul/28</v>
      </c>
      <c r="E170" s="4" t="s">
        <v>61</v>
      </c>
    </row>
    <row r="171" spans="1:5">
      <c r="A171" s="1">
        <v>13</v>
      </c>
      <c r="B171" s="3">
        <v>45486</v>
      </c>
      <c r="C171" s="1" t="str">
        <f t="shared" si="4"/>
        <v>sex</v>
      </c>
      <c r="D171" s="1" t="str">
        <f t="shared" si="5"/>
        <v>Jul/28</v>
      </c>
      <c r="E171" s="4" t="s">
        <v>61</v>
      </c>
    </row>
    <row r="172" spans="1:5">
      <c r="A172" s="1">
        <v>14</v>
      </c>
      <c r="B172" s="3">
        <v>45487</v>
      </c>
      <c r="C172" s="1" t="str">
        <f t="shared" si="4"/>
        <v>sáb</v>
      </c>
      <c r="D172" s="1" t="str">
        <f t="shared" si="5"/>
        <v>Jul/28</v>
      </c>
      <c r="E172" s="4" t="s">
        <v>61</v>
      </c>
    </row>
    <row r="173" spans="1:5">
      <c r="A173" s="1">
        <v>15</v>
      </c>
      <c r="B173" s="3">
        <v>45488</v>
      </c>
      <c r="C173" s="1" t="str">
        <f t="shared" si="4"/>
        <v>dom</v>
      </c>
      <c r="D173" s="1" t="str">
        <f t="shared" si="5"/>
        <v>Jul/28</v>
      </c>
      <c r="E173" s="4" t="s">
        <v>61</v>
      </c>
    </row>
    <row r="174" spans="1:5">
      <c r="A174" s="1">
        <v>16</v>
      </c>
      <c r="B174" s="3">
        <v>45489</v>
      </c>
      <c r="C174" s="1" t="str">
        <f t="shared" si="4"/>
        <v>seg</v>
      </c>
      <c r="D174" s="1" t="str">
        <f t="shared" si="5"/>
        <v>Jul/28</v>
      </c>
      <c r="E174" s="4" t="s">
        <v>61</v>
      </c>
    </row>
    <row r="175" spans="1:5">
      <c r="A175" s="1">
        <v>17</v>
      </c>
      <c r="B175" s="3">
        <v>45490</v>
      </c>
      <c r="C175" s="1" t="str">
        <f t="shared" si="4"/>
        <v>ter</v>
      </c>
      <c r="D175" s="1" t="str">
        <f t="shared" si="5"/>
        <v>Jul/28</v>
      </c>
      <c r="E175" s="4" t="s">
        <v>61</v>
      </c>
    </row>
    <row r="176" spans="1:5">
      <c r="A176" s="1">
        <v>18</v>
      </c>
      <c r="B176" s="3">
        <v>45491</v>
      </c>
      <c r="C176" s="1" t="str">
        <f t="shared" si="4"/>
        <v>qua</v>
      </c>
      <c r="D176" s="1" t="str">
        <f t="shared" si="5"/>
        <v>Jul/28</v>
      </c>
      <c r="E176" s="4" t="s">
        <v>61</v>
      </c>
    </row>
    <row r="177" spans="1:5">
      <c r="A177" s="1">
        <v>19</v>
      </c>
      <c r="B177" s="3">
        <v>45492</v>
      </c>
      <c r="C177" s="1" t="str">
        <f t="shared" si="4"/>
        <v>qui</v>
      </c>
      <c r="D177" s="1" t="str">
        <f t="shared" si="5"/>
        <v>Jul/28</v>
      </c>
      <c r="E177" s="4" t="s">
        <v>61</v>
      </c>
    </row>
    <row r="178" spans="1:5">
      <c r="A178" s="1">
        <v>20</v>
      </c>
      <c r="B178" s="3">
        <v>45493</v>
      </c>
      <c r="C178" s="1" t="str">
        <f t="shared" si="4"/>
        <v>sex</v>
      </c>
      <c r="D178" s="1" t="str">
        <f t="shared" si="5"/>
        <v>Jul/28</v>
      </c>
      <c r="E178" s="4" t="s">
        <v>61</v>
      </c>
    </row>
    <row r="179" spans="1:5">
      <c r="A179" s="1">
        <v>21</v>
      </c>
      <c r="B179" s="3">
        <v>45494</v>
      </c>
      <c r="C179" s="1" t="str">
        <f t="shared" si="4"/>
        <v>sáb</v>
      </c>
      <c r="D179" s="1" t="str">
        <f t="shared" si="5"/>
        <v>Jul/28</v>
      </c>
      <c r="E179" s="4" t="s">
        <v>61</v>
      </c>
    </row>
    <row r="180" spans="1:5">
      <c r="A180" s="1">
        <v>22</v>
      </c>
      <c r="B180" s="3">
        <v>45495</v>
      </c>
      <c r="C180" s="1" t="str">
        <f t="shared" si="4"/>
        <v>dom</v>
      </c>
      <c r="D180" s="1" t="str">
        <f t="shared" si="5"/>
        <v>Jul/28</v>
      </c>
      <c r="E180" s="4" t="s">
        <v>61</v>
      </c>
    </row>
    <row r="181" spans="1:5">
      <c r="A181" s="1">
        <v>23</v>
      </c>
      <c r="B181" s="3">
        <v>45496</v>
      </c>
      <c r="C181" s="1" t="str">
        <f t="shared" si="4"/>
        <v>seg</v>
      </c>
      <c r="D181" s="1" t="str">
        <f t="shared" si="5"/>
        <v>Jul/28</v>
      </c>
      <c r="E181" s="4" t="s">
        <v>61</v>
      </c>
    </row>
    <row r="182" spans="1:5">
      <c r="A182" s="1">
        <v>24</v>
      </c>
      <c r="B182" s="3">
        <v>45497</v>
      </c>
      <c r="C182" s="1" t="str">
        <f t="shared" si="4"/>
        <v>ter</v>
      </c>
      <c r="D182" s="1" t="str">
        <f t="shared" si="5"/>
        <v>Jul/28</v>
      </c>
      <c r="E182" s="4" t="s">
        <v>61</v>
      </c>
    </row>
    <row r="183" spans="1:5">
      <c r="A183" s="1">
        <v>25</v>
      </c>
      <c r="B183" s="3">
        <v>45498</v>
      </c>
      <c r="C183" s="1" t="str">
        <f t="shared" si="4"/>
        <v>qua</v>
      </c>
      <c r="D183" s="1" t="str">
        <f t="shared" si="5"/>
        <v>Jul/28</v>
      </c>
      <c r="E183" s="4" t="s">
        <v>61</v>
      </c>
    </row>
    <row r="184" spans="1:5">
      <c r="A184" s="1">
        <v>26</v>
      </c>
      <c r="B184" s="3">
        <v>45499</v>
      </c>
      <c r="C184" s="1" t="str">
        <f t="shared" si="4"/>
        <v>qui</v>
      </c>
      <c r="D184" s="1" t="str">
        <f t="shared" si="5"/>
        <v>Jul/28</v>
      </c>
      <c r="E184" s="4" t="s">
        <v>60</v>
      </c>
    </row>
    <row r="185" spans="1:5">
      <c r="A185" s="1">
        <v>27</v>
      </c>
      <c r="B185" s="3">
        <v>45500</v>
      </c>
      <c r="C185" s="1" t="str">
        <f t="shared" si="4"/>
        <v>sex</v>
      </c>
      <c r="D185" s="1" t="str">
        <f t="shared" si="5"/>
        <v>Jul/28</v>
      </c>
      <c r="E185" s="4" t="s">
        <v>60</v>
      </c>
    </row>
    <row r="186" spans="1:5">
      <c r="A186" s="1">
        <v>28</v>
      </c>
      <c r="B186" s="3">
        <v>45501</v>
      </c>
      <c r="C186" s="1" t="str">
        <f t="shared" si="4"/>
        <v>sáb</v>
      </c>
      <c r="D186" s="1" t="str">
        <f t="shared" si="5"/>
        <v>Jul/28</v>
      </c>
      <c r="E186" s="4" t="s">
        <v>60</v>
      </c>
    </row>
    <row r="187" spans="1:5">
      <c r="A187" s="1">
        <v>29</v>
      </c>
      <c r="B187" s="3">
        <v>45502</v>
      </c>
      <c r="C187" s="1" t="str">
        <f t="shared" si="4"/>
        <v>dom</v>
      </c>
      <c r="D187" s="1" t="str">
        <f t="shared" si="5"/>
        <v>Jul/28</v>
      </c>
      <c r="E187" s="4" t="s">
        <v>60</v>
      </c>
    </row>
    <row r="188" spans="1:5">
      <c r="A188" s="1">
        <v>30</v>
      </c>
      <c r="B188" s="3">
        <v>45503</v>
      </c>
      <c r="C188" s="1" t="str">
        <f t="shared" si="4"/>
        <v>seg</v>
      </c>
      <c r="D188" s="1" t="str">
        <f t="shared" si="5"/>
        <v>Jul/28</v>
      </c>
      <c r="E188" s="4" t="s">
        <v>60</v>
      </c>
    </row>
    <row r="189" spans="1:5">
      <c r="A189" s="1">
        <v>31</v>
      </c>
      <c r="B189" s="3">
        <v>45504</v>
      </c>
      <c r="C189" s="1" t="str">
        <f t="shared" si="4"/>
        <v>ter</v>
      </c>
      <c r="D189" s="1" t="str">
        <f t="shared" si="5"/>
        <v>Ago/28</v>
      </c>
      <c r="E189" s="4" t="s">
        <v>60</v>
      </c>
    </row>
    <row r="190" spans="1:5">
      <c r="A190" s="1">
        <v>1</v>
      </c>
      <c r="B190" s="3">
        <v>45505</v>
      </c>
      <c r="C190" s="1" t="str">
        <f t="shared" si="4"/>
        <v>qua</v>
      </c>
      <c r="D190" s="1" t="str">
        <f t="shared" si="5"/>
        <v>Ago/28</v>
      </c>
      <c r="E190" s="4" t="s">
        <v>60</v>
      </c>
    </row>
    <row r="191" spans="1:5">
      <c r="A191" s="1">
        <v>2</v>
      </c>
      <c r="B191" s="3">
        <v>45506</v>
      </c>
      <c r="C191" s="1" t="str">
        <f t="shared" si="4"/>
        <v>qui</v>
      </c>
      <c r="D191" s="1" t="str">
        <f t="shared" si="5"/>
        <v>Ago/28</v>
      </c>
      <c r="E191" s="4" t="s">
        <v>60</v>
      </c>
    </row>
    <row r="192" spans="1:5">
      <c r="A192" s="1">
        <v>3</v>
      </c>
      <c r="B192" s="3">
        <v>45507</v>
      </c>
      <c r="C192" s="1" t="str">
        <f t="shared" si="4"/>
        <v>sex</v>
      </c>
      <c r="D192" s="1" t="str">
        <f t="shared" si="5"/>
        <v>Ago/28</v>
      </c>
      <c r="E192" s="4" t="s">
        <v>60</v>
      </c>
    </row>
    <row r="193" spans="1:5">
      <c r="A193" s="1">
        <v>4</v>
      </c>
      <c r="B193" s="3">
        <v>45508</v>
      </c>
      <c r="C193" s="1" t="str">
        <f t="shared" si="4"/>
        <v>sáb</v>
      </c>
      <c r="D193" s="1" t="str">
        <f t="shared" si="5"/>
        <v>Ago/28</v>
      </c>
      <c r="E193" s="4" t="s">
        <v>60</v>
      </c>
    </row>
    <row r="194" spans="1:5">
      <c r="A194" s="1">
        <v>5</v>
      </c>
      <c r="B194" s="3">
        <v>45509</v>
      </c>
      <c r="C194" s="1" t="str">
        <f t="shared" si="4"/>
        <v>dom</v>
      </c>
      <c r="D194" s="1" t="str">
        <f t="shared" si="5"/>
        <v>Ago/28</v>
      </c>
      <c r="E194" s="4" t="s">
        <v>60</v>
      </c>
    </row>
    <row r="195" spans="1:5">
      <c r="A195" s="1">
        <v>6</v>
      </c>
      <c r="B195" s="3">
        <v>45510</v>
      </c>
      <c r="C195" s="1" t="str">
        <f t="shared" ref="C195:C258" si="6">TEXT(B195,"DDD")</f>
        <v>seg</v>
      </c>
      <c r="D195" s="1" t="str">
        <f t="shared" ref="D195:D258" si="7">PROPER(TEXT(B195,"mmm"&amp;"/"&amp;"AA"))</f>
        <v>Ago/28</v>
      </c>
      <c r="E195" s="4" t="s">
        <v>60</v>
      </c>
    </row>
    <row r="196" spans="1:5">
      <c r="A196" s="1">
        <v>7</v>
      </c>
      <c r="B196" s="3">
        <v>45511</v>
      </c>
      <c r="C196" s="1" t="str">
        <f t="shared" si="6"/>
        <v>ter</v>
      </c>
      <c r="D196" s="1" t="str">
        <f t="shared" si="7"/>
        <v>Ago/28</v>
      </c>
      <c r="E196" s="4" t="s">
        <v>60</v>
      </c>
    </row>
    <row r="197" spans="1:5">
      <c r="A197" s="1">
        <v>8</v>
      </c>
      <c r="B197" s="3">
        <v>45512</v>
      </c>
      <c r="C197" s="1" t="str">
        <f t="shared" si="6"/>
        <v>qua</v>
      </c>
      <c r="D197" s="1" t="str">
        <f t="shared" si="7"/>
        <v>Ago/28</v>
      </c>
      <c r="E197" s="4" t="s">
        <v>60</v>
      </c>
    </row>
    <row r="198" spans="1:5">
      <c r="A198" s="1">
        <v>9</v>
      </c>
      <c r="B198" s="3">
        <v>45513</v>
      </c>
      <c r="C198" s="1" t="str">
        <f t="shared" si="6"/>
        <v>qui</v>
      </c>
      <c r="D198" s="1" t="str">
        <f t="shared" si="7"/>
        <v>Ago/28</v>
      </c>
      <c r="E198" s="4" t="s">
        <v>60</v>
      </c>
    </row>
    <row r="199" spans="1:5">
      <c r="A199" s="1">
        <v>10</v>
      </c>
      <c r="B199" s="3">
        <v>45514</v>
      </c>
      <c r="C199" s="1" t="str">
        <f t="shared" si="6"/>
        <v>sex</v>
      </c>
      <c r="D199" s="1" t="str">
        <f t="shared" si="7"/>
        <v>Ago/28</v>
      </c>
      <c r="E199" s="4" t="s">
        <v>61</v>
      </c>
    </row>
    <row r="200" spans="1:5">
      <c r="A200" s="1">
        <v>11</v>
      </c>
      <c r="B200" s="3">
        <v>45515</v>
      </c>
      <c r="C200" s="1" t="str">
        <f t="shared" si="6"/>
        <v>sáb</v>
      </c>
      <c r="D200" s="1" t="str">
        <f t="shared" si="7"/>
        <v>Ago/28</v>
      </c>
      <c r="E200" s="4" t="s">
        <v>61</v>
      </c>
    </row>
    <row r="201" spans="1:5">
      <c r="A201" s="1">
        <v>12</v>
      </c>
      <c r="B201" s="3">
        <v>45516</v>
      </c>
      <c r="C201" s="1" t="str">
        <f t="shared" si="6"/>
        <v>dom</v>
      </c>
      <c r="D201" s="1" t="str">
        <f t="shared" si="7"/>
        <v>Ago/28</v>
      </c>
      <c r="E201" s="4" t="s">
        <v>61</v>
      </c>
    </row>
    <row r="202" spans="1:5">
      <c r="A202" s="1">
        <v>13</v>
      </c>
      <c r="B202" s="3">
        <v>45517</v>
      </c>
      <c r="C202" s="1" t="str">
        <f t="shared" si="6"/>
        <v>seg</v>
      </c>
      <c r="D202" s="1" t="str">
        <f t="shared" si="7"/>
        <v>Ago/28</v>
      </c>
      <c r="E202" s="4" t="s">
        <v>61</v>
      </c>
    </row>
    <row r="203" spans="1:5">
      <c r="A203" s="1">
        <v>14</v>
      </c>
      <c r="B203" s="3">
        <v>45518</v>
      </c>
      <c r="C203" s="1" t="str">
        <f t="shared" si="6"/>
        <v>ter</v>
      </c>
      <c r="D203" s="1" t="str">
        <f t="shared" si="7"/>
        <v>Ago/28</v>
      </c>
      <c r="E203" s="4" t="s">
        <v>61</v>
      </c>
    </row>
    <row r="204" spans="1:5">
      <c r="A204" s="1">
        <v>15</v>
      </c>
      <c r="B204" s="3">
        <v>45519</v>
      </c>
      <c r="C204" s="1" t="str">
        <f t="shared" si="6"/>
        <v>qua</v>
      </c>
      <c r="D204" s="1" t="str">
        <f t="shared" si="7"/>
        <v>Ago/28</v>
      </c>
      <c r="E204" s="4" t="s">
        <v>61</v>
      </c>
    </row>
    <row r="205" spans="1:5">
      <c r="A205" s="1">
        <v>16</v>
      </c>
      <c r="B205" s="3">
        <v>45520</v>
      </c>
      <c r="C205" s="1" t="str">
        <f t="shared" si="6"/>
        <v>qui</v>
      </c>
      <c r="D205" s="1" t="str">
        <f t="shared" si="7"/>
        <v>Ago/28</v>
      </c>
      <c r="E205" s="4" t="s">
        <v>61</v>
      </c>
    </row>
    <row r="206" spans="1:5">
      <c r="A206" s="1">
        <v>17</v>
      </c>
      <c r="B206" s="3">
        <v>45521</v>
      </c>
      <c r="C206" s="1" t="str">
        <f t="shared" si="6"/>
        <v>sex</v>
      </c>
      <c r="D206" s="1" t="str">
        <f t="shared" si="7"/>
        <v>Ago/28</v>
      </c>
      <c r="E206" s="4" t="s">
        <v>61</v>
      </c>
    </row>
    <row r="207" spans="1:5">
      <c r="A207" s="1">
        <v>18</v>
      </c>
      <c r="B207" s="3">
        <v>45522</v>
      </c>
      <c r="C207" s="1" t="str">
        <f t="shared" si="6"/>
        <v>sáb</v>
      </c>
      <c r="D207" s="1" t="str">
        <f t="shared" si="7"/>
        <v>Ago/28</v>
      </c>
      <c r="E207" s="4" t="s">
        <v>61</v>
      </c>
    </row>
    <row r="208" spans="1:5">
      <c r="A208" s="1">
        <v>19</v>
      </c>
      <c r="B208" s="3">
        <v>45523</v>
      </c>
      <c r="C208" s="1" t="str">
        <f t="shared" si="6"/>
        <v>dom</v>
      </c>
      <c r="D208" s="1" t="str">
        <f t="shared" si="7"/>
        <v>Ago/28</v>
      </c>
      <c r="E208" s="4" t="s">
        <v>61</v>
      </c>
    </row>
    <row r="209" spans="1:5">
      <c r="A209" s="1">
        <v>20</v>
      </c>
      <c r="B209" s="3">
        <v>45524</v>
      </c>
      <c r="C209" s="1" t="str">
        <f t="shared" si="6"/>
        <v>seg</v>
      </c>
      <c r="D209" s="1" t="str">
        <f t="shared" si="7"/>
        <v>Ago/28</v>
      </c>
      <c r="E209" s="4" t="s">
        <v>61</v>
      </c>
    </row>
    <row r="210" spans="1:5">
      <c r="A210" s="1">
        <v>21</v>
      </c>
      <c r="B210" s="3">
        <v>45525</v>
      </c>
      <c r="C210" s="1" t="str">
        <f t="shared" si="6"/>
        <v>ter</v>
      </c>
      <c r="D210" s="1" t="str">
        <f t="shared" si="7"/>
        <v>Ago/28</v>
      </c>
      <c r="E210" s="4" t="s">
        <v>61</v>
      </c>
    </row>
    <row r="211" spans="1:5">
      <c r="A211" s="1">
        <v>22</v>
      </c>
      <c r="B211" s="3">
        <v>45526</v>
      </c>
      <c r="C211" s="1" t="str">
        <f t="shared" si="6"/>
        <v>qua</v>
      </c>
      <c r="D211" s="1" t="str">
        <f t="shared" si="7"/>
        <v>Ago/28</v>
      </c>
      <c r="E211" s="4" t="s">
        <v>61</v>
      </c>
    </row>
    <row r="212" spans="1:5">
      <c r="A212" s="1">
        <v>23</v>
      </c>
      <c r="B212" s="3">
        <v>45527</v>
      </c>
      <c r="C212" s="1" t="str">
        <f t="shared" si="6"/>
        <v>qui</v>
      </c>
      <c r="D212" s="1" t="str">
        <f t="shared" si="7"/>
        <v>Ago/28</v>
      </c>
      <c r="E212" s="4" t="s">
        <v>61</v>
      </c>
    </row>
    <row r="213" spans="1:5">
      <c r="A213" s="1">
        <v>24</v>
      </c>
      <c r="B213" s="3">
        <v>45528</v>
      </c>
      <c r="C213" s="1" t="str">
        <f t="shared" si="6"/>
        <v>sex</v>
      </c>
      <c r="D213" s="1" t="str">
        <f t="shared" si="7"/>
        <v>Ago/28</v>
      </c>
      <c r="E213" s="4" t="s">
        <v>61</v>
      </c>
    </row>
    <row r="214" spans="1:5">
      <c r="A214" s="1">
        <v>25</v>
      </c>
      <c r="B214" s="3">
        <v>45529</v>
      </c>
      <c r="C214" s="1" t="str">
        <f t="shared" si="6"/>
        <v>sáb</v>
      </c>
      <c r="D214" s="1" t="str">
        <f t="shared" si="7"/>
        <v>Ago/28</v>
      </c>
      <c r="E214" s="4" t="s">
        <v>61</v>
      </c>
    </row>
    <row r="215" spans="1:5">
      <c r="A215" s="1">
        <v>26</v>
      </c>
      <c r="B215" s="3">
        <v>45530</v>
      </c>
      <c r="C215" s="1" t="str">
        <f t="shared" si="6"/>
        <v>dom</v>
      </c>
      <c r="D215" s="1" t="str">
        <f t="shared" si="7"/>
        <v>Ago/28</v>
      </c>
      <c r="E215" s="4" t="s">
        <v>60</v>
      </c>
    </row>
    <row r="216" spans="1:5">
      <c r="A216" s="1">
        <v>27</v>
      </c>
      <c r="B216" s="3">
        <v>45531</v>
      </c>
      <c r="C216" s="1" t="str">
        <f t="shared" si="6"/>
        <v>seg</v>
      </c>
      <c r="D216" s="1" t="str">
        <f t="shared" si="7"/>
        <v>Ago/28</v>
      </c>
      <c r="E216" s="4" t="s">
        <v>60</v>
      </c>
    </row>
    <row r="217" spans="1:5">
      <c r="A217" s="1">
        <v>28</v>
      </c>
      <c r="B217" s="3">
        <v>45532</v>
      </c>
      <c r="C217" s="1" t="str">
        <f t="shared" si="6"/>
        <v>ter</v>
      </c>
      <c r="D217" s="1" t="str">
        <f t="shared" si="7"/>
        <v>Ago/28</v>
      </c>
      <c r="E217" s="4" t="s">
        <v>60</v>
      </c>
    </row>
    <row r="218" spans="1:5">
      <c r="A218" s="1">
        <v>29</v>
      </c>
      <c r="B218" s="3">
        <v>45533</v>
      </c>
      <c r="C218" s="1" t="str">
        <f t="shared" si="6"/>
        <v>qua</v>
      </c>
      <c r="D218" s="1" t="str">
        <f t="shared" si="7"/>
        <v>Ago/28</v>
      </c>
      <c r="E218" s="4" t="s">
        <v>60</v>
      </c>
    </row>
    <row r="219" spans="1:5">
      <c r="A219" s="1">
        <v>30</v>
      </c>
      <c r="B219" s="3">
        <v>45534</v>
      </c>
      <c r="C219" s="1" t="str">
        <f t="shared" si="6"/>
        <v>qui</v>
      </c>
      <c r="D219" s="1" t="str">
        <f t="shared" si="7"/>
        <v>Ago/28</v>
      </c>
      <c r="E219" s="4" t="s">
        <v>60</v>
      </c>
    </row>
    <row r="220" spans="1:5">
      <c r="A220" s="1">
        <v>31</v>
      </c>
      <c r="B220" s="3">
        <v>45535</v>
      </c>
      <c r="C220" s="1" t="str">
        <f t="shared" si="6"/>
        <v>sex</v>
      </c>
      <c r="D220" s="1" t="str">
        <f t="shared" si="7"/>
        <v>Set/28</v>
      </c>
      <c r="E220" s="4" t="s">
        <v>60</v>
      </c>
    </row>
    <row r="221" spans="1:5">
      <c r="A221" s="1">
        <v>1</v>
      </c>
      <c r="B221" s="3">
        <v>45536</v>
      </c>
      <c r="C221" s="1" t="str">
        <f t="shared" si="6"/>
        <v>sáb</v>
      </c>
      <c r="D221" s="1" t="str">
        <f t="shared" si="7"/>
        <v>Set/28</v>
      </c>
      <c r="E221" s="4" t="s">
        <v>60</v>
      </c>
    </row>
    <row r="222" spans="1:5">
      <c r="A222" s="1">
        <v>2</v>
      </c>
      <c r="B222" s="3">
        <v>45537</v>
      </c>
      <c r="C222" s="1" t="str">
        <f t="shared" si="6"/>
        <v>dom</v>
      </c>
      <c r="D222" s="1" t="str">
        <f t="shared" si="7"/>
        <v>Set/28</v>
      </c>
      <c r="E222" s="4" t="s">
        <v>60</v>
      </c>
    </row>
    <row r="223" spans="1:5">
      <c r="A223" s="1">
        <v>3</v>
      </c>
      <c r="B223" s="3">
        <v>45538</v>
      </c>
      <c r="C223" s="1" t="str">
        <f t="shared" si="6"/>
        <v>seg</v>
      </c>
      <c r="D223" s="1" t="str">
        <f t="shared" si="7"/>
        <v>Set/28</v>
      </c>
      <c r="E223" s="4" t="s">
        <v>60</v>
      </c>
    </row>
    <row r="224" spans="1:5">
      <c r="A224" s="1">
        <v>4</v>
      </c>
      <c r="B224" s="3">
        <v>45539</v>
      </c>
      <c r="C224" s="1" t="str">
        <f t="shared" si="6"/>
        <v>ter</v>
      </c>
      <c r="D224" s="1" t="str">
        <f t="shared" si="7"/>
        <v>Set/28</v>
      </c>
      <c r="E224" s="4" t="s">
        <v>60</v>
      </c>
    </row>
    <row r="225" spans="1:5">
      <c r="A225" s="1">
        <v>5</v>
      </c>
      <c r="B225" s="3">
        <v>45540</v>
      </c>
      <c r="C225" s="1" t="str">
        <f t="shared" si="6"/>
        <v>qua</v>
      </c>
      <c r="D225" s="1" t="str">
        <f t="shared" si="7"/>
        <v>Set/28</v>
      </c>
      <c r="E225" s="4" t="s">
        <v>60</v>
      </c>
    </row>
    <row r="226" spans="1:5">
      <c r="A226" s="1">
        <v>6</v>
      </c>
      <c r="B226" s="3">
        <v>45541</v>
      </c>
      <c r="C226" s="1" t="str">
        <f t="shared" si="6"/>
        <v>qui</v>
      </c>
      <c r="D226" s="1" t="str">
        <f t="shared" si="7"/>
        <v>Set/28</v>
      </c>
      <c r="E226" s="4" t="s">
        <v>60</v>
      </c>
    </row>
    <row r="227" spans="1:5">
      <c r="A227" s="1">
        <v>7</v>
      </c>
      <c r="B227" s="3">
        <v>45542</v>
      </c>
      <c r="C227" s="1" t="str">
        <f t="shared" si="6"/>
        <v>sex</v>
      </c>
      <c r="D227" s="1" t="str">
        <f t="shared" si="7"/>
        <v>Set/28</v>
      </c>
      <c r="E227" s="4" t="s">
        <v>60</v>
      </c>
    </row>
    <row r="228" spans="1:5">
      <c r="A228" s="1">
        <v>8</v>
      </c>
      <c r="B228" s="3">
        <v>45543</v>
      </c>
      <c r="C228" s="1" t="str">
        <f t="shared" si="6"/>
        <v>sáb</v>
      </c>
      <c r="D228" s="1" t="str">
        <f t="shared" si="7"/>
        <v>Set/28</v>
      </c>
      <c r="E228" s="4" t="s">
        <v>60</v>
      </c>
    </row>
    <row r="229" spans="1:5">
      <c r="A229" s="1">
        <v>9</v>
      </c>
      <c r="B229" s="3">
        <v>45544</v>
      </c>
      <c r="C229" s="1" t="str">
        <f t="shared" si="6"/>
        <v>dom</v>
      </c>
      <c r="D229" s="1" t="str">
        <f t="shared" si="7"/>
        <v>Set/28</v>
      </c>
      <c r="E229" s="4" t="s">
        <v>60</v>
      </c>
    </row>
    <row r="230" spans="1:5">
      <c r="A230" s="1">
        <v>10</v>
      </c>
      <c r="B230" s="3">
        <v>45545</v>
      </c>
      <c r="C230" s="1" t="str">
        <f t="shared" si="6"/>
        <v>seg</v>
      </c>
      <c r="D230" s="1" t="str">
        <f t="shared" si="7"/>
        <v>Set/28</v>
      </c>
      <c r="E230" s="4" t="s">
        <v>61</v>
      </c>
    </row>
    <row r="231" spans="1:5">
      <c r="A231" s="1">
        <v>11</v>
      </c>
      <c r="B231" s="3">
        <v>45546</v>
      </c>
      <c r="C231" s="1" t="str">
        <f t="shared" si="6"/>
        <v>ter</v>
      </c>
      <c r="D231" s="1" t="str">
        <f t="shared" si="7"/>
        <v>Set/28</v>
      </c>
      <c r="E231" s="4" t="s">
        <v>61</v>
      </c>
    </row>
    <row r="232" spans="1:5">
      <c r="A232" s="1">
        <v>12</v>
      </c>
      <c r="B232" s="3">
        <v>45547</v>
      </c>
      <c r="C232" s="1" t="str">
        <f t="shared" si="6"/>
        <v>qua</v>
      </c>
      <c r="D232" s="1" t="str">
        <f t="shared" si="7"/>
        <v>Set/28</v>
      </c>
      <c r="E232" s="4" t="s">
        <v>61</v>
      </c>
    </row>
    <row r="233" spans="1:5">
      <c r="A233" s="1">
        <v>13</v>
      </c>
      <c r="B233" s="3">
        <v>45548</v>
      </c>
      <c r="C233" s="1" t="str">
        <f t="shared" si="6"/>
        <v>qui</v>
      </c>
      <c r="D233" s="1" t="str">
        <f t="shared" si="7"/>
        <v>Set/28</v>
      </c>
      <c r="E233" s="4" t="s">
        <v>61</v>
      </c>
    </row>
    <row r="234" spans="1:5">
      <c r="A234" s="1">
        <v>14</v>
      </c>
      <c r="B234" s="3">
        <v>45549</v>
      </c>
      <c r="C234" s="1" t="str">
        <f t="shared" si="6"/>
        <v>sex</v>
      </c>
      <c r="D234" s="1" t="str">
        <f t="shared" si="7"/>
        <v>Set/28</v>
      </c>
      <c r="E234" s="4" t="s">
        <v>61</v>
      </c>
    </row>
    <row r="235" spans="1:5">
      <c r="A235" s="1">
        <v>15</v>
      </c>
      <c r="B235" s="3">
        <v>45550</v>
      </c>
      <c r="C235" s="1" t="str">
        <f t="shared" si="6"/>
        <v>sáb</v>
      </c>
      <c r="D235" s="1" t="str">
        <f t="shared" si="7"/>
        <v>Set/28</v>
      </c>
      <c r="E235" s="4" t="s">
        <v>61</v>
      </c>
    </row>
    <row r="236" spans="1:5">
      <c r="A236" s="1">
        <v>16</v>
      </c>
      <c r="B236" s="3">
        <v>45551</v>
      </c>
      <c r="C236" s="1" t="str">
        <f t="shared" si="6"/>
        <v>dom</v>
      </c>
      <c r="D236" s="1" t="str">
        <f t="shared" si="7"/>
        <v>Set/28</v>
      </c>
      <c r="E236" s="4" t="s">
        <v>61</v>
      </c>
    </row>
    <row r="237" spans="1:5">
      <c r="A237" s="1">
        <v>17</v>
      </c>
      <c r="B237" s="3">
        <v>45552</v>
      </c>
      <c r="C237" s="1" t="str">
        <f t="shared" si="6"/>
        <v>seg</v>
      </c>
      <c r="D237" s="1" t="str">
        <f t="shared" si="7"/>
        <v>Set/28</v>
      </c>
      <c r="E237" s="4" t="s">
        <v>61</v>
      </c>
    </row>
    <row r="238" spans="1:5">
      <c r="A238" s="1">
        <v>18</v>
      </c>
      <c r="B238" s="3">
        <v>45553</v>
      </c>
      <c r="C238" s="1" t="str">
        <f t="shared" si="6"/>
        <v>ter</v>
      </c>
      <c r="D238" s="1" t="str">
        <f t="shared" si="7"/>
        <v>Set/28</v>
      </c>
      <c r="E238" s="4" t="s">
        <v>61</v>
      </c>
    </row>
    <row r="239" spans="1:5">
      <c r="A239" s="1">
        <v>19</v>
      </c>
      <c r="B239" s="3">
        <v>45554</v>
      </c>
      <c r="C239" s="1" t="str">
        <f t="shared" si="6"/>
        <v>qua</v>
      </c>
      <c r="D239" s="1" t="str">
        <f t="shared" si="7"/>
        <v>Set/28</v>
      </c>
      <c r="E239" s="4" t="s">
        <v>61</v>
      </c>
    </row>
    <row r="240" spans="1:5">
      <c r="A240" s="1">
        <v>20</v>
      </c>
      <c r="B240" s="3">
        <v>45555</v>
      </c>
      <c r="C240" s="1" t="str">
        <f t="shared" si="6"/>
        <v>qui</v>
      </c>
      <c r="D240" s="1" t="str">
        <f t="shared" si="7"/>
        <v>Set/28</v>
      </c>
      <c r="E240" s="4" t="s">
        <v>61</v>
      </c>
    </row>
    <row r="241" spans="1:5">
      <c r="A241" s="1">
        <v>21</v>
      </c>
      <c r="B241" s="3">
        <v>45556</v>
      </c>
      <c r="C241" s="1" t="str">
        <f t="shared" si="6"/>
        <v>sex</v>
      </c>
      <c r="D241" s="1" t="str">
        <f t="shared" si="7"/>
        <v>Set/28</v>
      </c>
      <c r="E241" s="4" t="s">
        <v>61</v>
      </c>
    </row>
    <row r="242" spans="1:5">
      <c r="A242" s="1">
        <v>22</v>
      </c>
      <c r="B242" s="3">
        <v>45557</v>
      </c>
      <c r="C242" s="1" t="str">
        <f t="shared" si="6"/>
        <v>sáb</v>
      </c>
      <c r="D242" s="1" t="str">
        <f t="shared" si="7"/>
        <v>Set/28</v>
      </c>
      <c r="E242" s="4" t="s">
        <v>61</v>
      </c>
    </row>
    <row r="243" spans="1:5">
      <c r="A243" s="1">
        <v>23</v>
      </c>
      <c r="B243" s="3">
        <v>45558</v>
      </c>
      <c r="C243" s="1" t="str">
        <f t="shared" si="6"/>
        <v>dom</v>
      </c>
      <c r="D243" s="1" t="str">
        <f t="shared" si="7"/>
        <v>Set/28</v>
      </c>
      <c r="E243" s="4" t="s">
        <v>61</v>
      </c>
    </row>
    <row r="244" spans="1:5">
      <c r="A244" s="1">
        <v>24</v>
      </c>
      <c r="B244" s="3">
        <v>45559</v>
      </c>
      <c r="C244" s="1" t="str">
        <f t="shared" si="6"/>
        <v>seg</v>
      </c>
      <c r="D244" s="1" t="str">
        <f t="shared" si="7"/>
        <v>Set/28</v>
      </c>
      <c r="E244" s="4" t="s">
        <v>61</v>
      </c>
    </row>
    <row r="245" spans="1:5">
      <c r="A245" s="1">
        <v>25</v>
      </c>
      <c r="B245" s="3">
        <v>45560</v>
      </c>
      <c r="C245" s="1" t="str">
        <f t="shared" si="6"/>
        <v>ter</v>
      </c>
      <c r="D245" s="1" t="str">
        <f t="shared" si="7"/>
        <v>Set/28</v>
      </c>
      <c r="E245" s="4" t="s">
        <v>61</v>
      </c>
    </row>
    <row r="246" spans="1:5">
      <c r="A246" s="1">
        <v>26</v>
      </c>
      <c r="B246" s="3">
        <v>45561</v>
      </c>
      <c r="C246" s="1" t="str">
        <f t="shared" si="6"/>
        <v>qua</v>
      </c>
      <c r="D246" s="1" t="str">
        <f t="shared" si="7"/>
        <v>Set/28</v>
      </c>
      <c r="E246" s="4" t="s">
        <v>60</v>
      </c>
    </row>
    <row r="247" spans="1:5">
      <c r="A247" s="1">
        <v>27</v>
      </c>
      <c r="B247" s="3">
        <v>45562</v>
      </c>
      <c r="C247" s="1" t="str">
        <f t="shared" si="6"/>
        <v>qui</v>
      </c>
      <c r="D247" s="1" t="str">
        <f t="shared" si="7"/>
        <v>Set/28</v>
      </c>
      <c r="E247" s="4" t="s">
        <v>60</v>
      </c>
    </row>
    <row r="248" spans="1:5">
      <c r="A248" s="1">
        <v>28</v>
      </c>
      <c r="B248" s="3">
        <v>45563</v>
      </c>
      <c r="C248" s="1" t="str">
        <f t="shared" si="6"/>
        <v>sex</v>
      </c>
      <c r="D248" s="1" t="str">
        <f t="shared" si="7"/>
        <v>Set/28</v>
      </c>
      <c r="E248" s="4" t="s">
        <v>60</v>
      </c>
    </row>
    <row r="249" spans="1:5">
      <c r="A249" s="1">
        <v>29</v>
      </c>
      <c r="B249" s="3">
        <v>45564</v>
      </c>
      <c r="C249" s="1" t="str">
        <f t="shared" si="6"/>
        <v>sáb</v>
      </c>
      <c r="D249" s="1" t="str">
        <f t="shared" si="7"/>
        <v>Set/28</v>
      </c>
      <c r="E249" s="4" t="s">
        <v>60</v>
      </c>
    </row>
    <row r="250" spans="1:5">
      <c r="A250" s="1">
        <v>30</v>
      </c>
      <c r="B250" s="3">
        <v>45565</v>
      </c>
      <c r="C250" s="1" t="str">
        <f t="shared" si="6"/>
        <v>dom</v>
      </c>
      <c r="D250" s="1" t="str">
        <f t="shared" si="7"/>
        <v>Out/28</v>
      </c>
      <c r="E250" s="4" t="s">
        <v>60</v>
      </c>
    </row>
    <row r="251" spans="1:5">
      <c r="A251" s="1">
        <v>1</v>
      </c>
      <c r="B251" s="3">
        <v>45566</v>
      </c>
      <c r="C251" s="1" t="str">
        <f t="shared" si="6"/>
        <v>seg</v>
      </c>
      <c r="D251" s="1" t="str">
        <f t="shared" si="7"/>
        <v>Out/28</v>
      </c>
      <c r="E251" s="4" t="s">
        <v>60</v>
      </c>
    </row>
    <row r="252" spans="1:5">
      <c r="A252" s="1">
        <v>2</v>
      </c>
      <c r="B252" s="3">
        <v>45567</v>
      </c>
      <c r="C252" s="1" t="str">
        <f t="shared" si="6"/>
        <v>ter</v>
      </c>
      <c r="D252" s="1" t="str">
        <f t="shared" si="7"/>
        <v>Out/28</v>
      </c>
      <c r="E252" s="4" t="s">
        <v>60</v>
      </c>
    </row>
    <row r="253" spans="1:5">
      <c r="A253" s="1">
        <v>3</v>
      </c>
      <c r="B253" s="3">
        <v>45568</v>
      </c>
      <c r="C253" s="1" t="str">
        <f t="shared" si="6"/>
        <v>qua</v>
      </c>
      <c r="D253" s="1" t="str">
        <f t="shared" si="7"/>
        <v>Out/28</v>
      </c>
      <c r="E253" s="4" t="s">
        <v>60</v>
      </c>
    </row>
    <row r="254" spans="1:5">
      <c r="A254" s="1">
        <v>4</v>
      </c>
      <c r="B254" s="3">
        <v>45569</v>
      </c>
      <c r="C254" s="1" t="str">
        <f t="shared" si="6"/>
        <v>qui</v>
      </c>
      <c r="D254" s="1" t="str">
        <f t="shared" si="7"/>
        <v>Out/28</v>
      </c>
      <c r="E254" s="4" t="s">
        <v>60</v>
      </c>
    </row>
    <row r="255" spans="1:5">
      <c r="A255" s="1">
        <v>5</v>
      </c>
      <c r="B255" s="3">
        <v>45570</v>
      </c>
      <c r="C255" s="1" t="str">
        <f t="shared" si="6"/>
        <v>sex</v>
      </c>
      <c r="D255" s="1" t="str">
        <f t="shared" si="7"/>
        <v>Out/28</v>
      </c>
      <c r="E255" s="4" t="s">
        <v>60</v>
      </c>
    </row>
    <row r="256" spans="1:5">
      <c r="A256" s="1">
        <v>6</v>
      </c>
      <c r="B256" s="3">
        <v>45571</v>
      </c>
      <c r="C256" s="1" t="str">
        <f t="shared" si="6"/>
        <v>sáb</v>
      </c>
      <c r="D256" s="1" t="str">
        <f t="shared" si="7"/>
        <v>Out/28</v>
      </c>
      <c r="E256" s="4" t="s">
        <v>60</v>
      </c>
    </row>
    <row r="257" spans="1:5">
      <c r="A257" s="1">
        <v>7</v>
      </c>
      <c r="B257" s="3">
        <v>45572</v>
      </c>
      <c r="C257" s="1" t="str">
        <f t="shared" si="6"/>
        <v>dom</v>
      </c>
      <c r="D257" s="1" t="str">
        <f t="shared" si="7"/>
        <v>Out/28</v>
      </c>
      <c r="E257" s="4" t="s">
        <v>60</v>
      </c>
    </row>
    <row r="258" spans="1:5">
      <c r="A258" s="1">
        <v>8</v>
      </c>
      <c r="B258" s="3">
        <v>45573</v>
      </c>
      <c r="C258" s="1" t="str">
        <f t="shared" si="6"/>
        <v>seg</v>
      </c>
      <c r="D258" s="1" t="str">
        <f t="shared" si="7"/>
        <v>Out/28</v>
      </c>
      <c r="E258" s="4" t="s">
        <v>60</v>
      </c>
    </row>
    <row r="259" spans="1:5">
      <c r="A259" s="1">
        <v>9</v>
      </c>
      <c r="B259" s="3">
        <v>45574</v>
      </c>
      <c r="C259" s="1" t="str">
        <f t="shared" ref="C259:C322" si="8">TEXT(B259,"DDD")</f>
        <v>ter</v>
      </c>
      <c r="D259" s="1" t="str">
        <f t="shared" ref="D259:D322" si="9">PROPER(TEXT(B259,"mmm"&amp;"/"&amp;"AA"))</f>
        <v>Out/28</v>
      </c>
      <c r="E259" s="4" t="s">
        <v>60</v>
      </c>
    </row>
    <row r="260" spans="1:5">
      <c r="A260" s="1">
        <v>10</v>
      </c>
      <c r="B260" s="3">
        <v>45575</v>
      </c>
      <c r="C260" s="1" t="str">
        <f t="shared" si="8"/>
        <v>qua</v>
      </c>
      <c r="D260" s="1" t="str">
        <f t="shared" si="9"/>
        <v>Out/28</v>
      </c>
      <c r="E260" s="4" t="s">
        <v>61</v>
      </c>
    </row>
    <row r="261" spans="1:5">
      <c r="A261" s="1">
        <v>11</v>
      </c>
      <c r="B261" s="3">
        <v>45576</v>
      </c>
      <c r="C261" s="1" t="str">
        <f t="shared" si="8"/>
        <v>qui</v>
      </c>
      <c r="D261" s="1" t="str">
        <f t="shared" si="9"/>
        <v>Out/28</v>
      </c>
      <c r="E261" s="4" t="s">
        <v>61</v>
      </c>
    </row>
    <row r="262" spans="1:5">
      <c r="A262" s="1">
        <v>12</v>
      </c>
      <c r="B262" s="3">
        <v>45577</v>
      </c>
      <c r="C262" s="1" t="str">
        <f t="shared" si="8"/>
        <v>sex</v>
      </c>
      <c r="D262" s="1" t="str">
        <f t="shared" si="9"/>
        <v>Out/28</v>
      </c>
      <c r="E262" s="4" t="s">
        <v>61</v>
      </c>
    </row>
    <row r="263" spans="1:5">
      <c r="A263" s="1">
        <v>13</v>
      </c>
      <c r="B263" s="3">
        <v>45578</v>
      </c>
      <c r="C263" s="1" t="str">
        <f t="shared" si="8"/>
        <v>sáb</v>
      </c>
      <c r="D263" s="1" t="str">
        <f t="shared" si="9"/>
        <v>Out/28</v>
      </c>
      <c r="E263" s="4" t="s">
        <v>61</v>
      </c>
    </row>
    <row r="264" spans="1:5">
      <c r="A264" s="1">
        <v>14</v>
      </c>
      <c r="B264" s="3">
        <v>45579</v>
      </c>
      <c r="C264" s="1" t="str">
        <f t="shared" si="8"/>
        <v>dom</v>
      </c>
      <c r="D264" s="1" t="str">
        <f t="shared" si="9"/>
        <v>Out/28</v>
      </c>
      <c r="E264" s="4" t="s">
        <v>61</v>
      </c>
    </row>
    <row r="265" spans="1:5">
      <c r="A265" s="1">
        <v>15</v>
      </c>
      <c r="B265" s="3">
        <v>45580</v>
      </c>
      <c r="C265" s="1" t="str">
        <f t="shared" si="8"/>
        <v>seg</v>
      </c>
      <c r="D265" s="1" t="str">
        <f t="shared" si="9"/>
        <v>Out/28</v>
      </c>
      <c r="E265" s="4" t="s">
        <v>61</v>
      </c>
    </row>
    <row r="266" spans="1:5">
      <c r="A266" s="1">
        <v>16</v>
      </c>
      <c r="B266" s="3">
        <v>45581</v>
      </c>
      <c r="C266" s="1" t="str">
        <f t="shared" si="8"/>
        <v>ter</v>
      </c>
      <c r="D266" s="1" t="str">
        <f t="shared" si="9"/>
        <v>Out/28</v>
      </c>
      <c r="E266" s="4" t="s">
        <v>61</v>
      </c>
    </row>
    <row r="267" spans="1:5">
      <c r="A267" s="1">
        <v>17</v>
      </c>
      <c r="B267" s="3">
        <v>45582</v>
      </c>
      <c r="C267" s="1" t="str">
        <f t="shared" si="8"/>
        <v>qua</v>
      </c>
      <c r="D267" s="1" t="str">
        <f t="shared" si="9"/>
        <v>Out/28</v>
      </c>
      <c r="E267" s="4" t="s">
        <v>61</v>
      </c>
    </row>
    <row r="268" spans="1:5">
      <c r="A268" s="1">
        <v>18</v>
      </c>
      <c r="B268" s="3">
        <v>45583</v>
      </c>
      <c r="C268" s="1" t="str">
        <f t="shared" si="8"/>
        <v>qui</v>
      </c>
      <c r="D268" s="1" t="str">
        <f t="shared" si="9"/>
        <v>Out/28</v>
      </c>
      <c r="E268" s="4" t="s">
        <v>61</v>
      </c>
    </row>
    <row r="269" spans="1:5">
      <c r="A269" s="1">
        <v>19</v>
      </c>
      <c r="B269" s="3">
        <v>45584</v>
      </c>
      <c r="C269" s="1" t="str">
        <f t="shared" si="8"/>
        <v>sex</v>
      </c>
      <c r="D269" s="1" t="str">
        <f t="shared" si="9"/>
        <v>Out/28</v>
      </c>
      <c r="E269" s="4" t="s">
        <v>61</v>
      </c>
    </row>
    <row r="270" spans="1:5">
      <c r="A270" s="1">
        <v>20</v>
      </c>
      <c r="B270" s="3">
        <v>45585</v>
      </c>
      <c r="C270" s="1" t="str">
        <f t="shared" si="8"/>
        <v>sáb</v>
      </c>
      <c r="D270" s="1" t="str">
        <f t="shared" si="9"/>
        <v>Out/28</v>
      </c>
      <c r="E270" s="4" t="s">
        <v>61</v>
      </c>
    </row>
    <row r="271" spans="1:5">
      <c r="A271" s="1">
        <v>21</v>
      </c>
      <c r="B271" s="3">
        <v>45586</v>
      </c>
      <c r="C271" s="1" t="str">
        <f t="shared" si="8"/>
        <v>dom</v>
      </c>
      <c r="D271" s="1" t="str">
        <f t="shared" si="9"/>
        <v>Out/28</v>
      </c>
      <c r="E271" s="4" t="s">
        <v>61</v>
      </c>
    </row>
    <row r="272" spans="1:5">
      <c r="A272" s="1">
        <v>22</v>
      </c>
      <c r="B272" s="3">
        <v>45587</v>
      </c>
      <c r="C272" s="1" t="str">
        <f t="shared" si="8"/>
        <v>seg</v>
      </c>
      <c r="D272" s="1" t="str">
        <f t="shared" si="9"/>
        <v>Out/28</v>
      </c>
      <c r="E272" s="4" t="s">
        <v>61</v>
      </c>
    </row>
    <row r="273" spans="1:5">
      <c r="A273" s="1">
        <v>23</v>
      </c>
      <c r="B273" s="3">
        <v>45588</v>
      </c>
      <c r="C273" s="1" t="str">
        <f t="shared" si="8"/>
        <v>ter</v>
      </c>
      <c r="D273" s="1" t="str">
        <f t="shared" si="9"/>
        <v>Out/28</v>
      </c>
      <c r="E273" s="4" t="s">
        <v>61</v>
      </c>
    </row>
    <row r="274" spans="1:5">
      <c r="A274" s="1">
        <v>24</v>
      </c>
      <c r="B274" s="3">
        <v>45589</v>
      </c>
      <c r="C274" s="1" t="str">
        <f t="shared" si="8"/>
        <v>qua</v>
      </c>
      <c r="D274" s="1" t="str">
        <f t="shared" si="9"/>
        <v>Out/28</v>
      </c>
      <c r="E274" s="4" t="s">
        <v>61</v>
      </c>
    </row>
    <row r="275" spans="1:5">
      <c r="A275" s="1">
        <v>25</v>
      </c>
      <c r="B275" s="3">
        <v>45590</v>
      </c>
      <c r="C275" s="1" t="str">
        <f t="shared" si="8"/>
        <v>qui</v>
      </c>
      <c r="D275" s="1" t="str">
        <f t="shared" si="9"/>
        <v>Out/28</v>
      </c>
      <c r="E275" s="4" t="s">
        <v>61</v>
      </c>
    </row>
    <row r="276" spans="1:5">
      <c r="A276" s="1">
        <v>26</v>
      </c>
      <c r="B276" s="3">
        <v>45591</v>
      </c>
      <c r="C276" s="1" t="str">
        <f t="shared" si="8"/>
        <v>sex</v>
      </c>
      <c r="D276" s="1" t="str">
        <f t="shared" si="9"/>
        <v>Out/28</v>
      </c>
      <c r="E276" s="4" t="s">
        <v>60</v>
      </c>
    </row>
    <row r="277" spans="1:5">
      <c r="A277" s="1">
        <v>27</v>
      </c>
      <c r="B277" s="3">
        <v>45592</v>
      </c>
      <c r="C277" s="1" t="str">
        <f t="shared" si="8"/>
        <v>sáb</v>
      </c>
      <c r="D277" s="1" t="str">
        <f t="shared" si="9"/>
        <v>Out/28</v>
      </c>
      <c r="E277" s="4" t="s">
        <v>60</v>
      </c>
    </row>
    <row r="278" spans="1:5">
      <c r="A278" s="1">
        <v>28</v>
      </c>
      <c r="B278" s="3">
        <v>45593</v>
      </c>
      <c r="C278" s="1" t="str">
        <f t="shared" si="8"/>
        <v>dom</v>
      </c>
      <c r="D278" s="1" t="str">
        <f t="shared" si="9"/>
        <v>Out/28</v>
      </c>
      <c r="E278" s="4" t="s">
        <v>60</v>
      </c>
    </row>
    <row r="279" spans="1:5">
      <c r="A279" s="1">
        <v>29</v>
      </c>
      <c r="B279" s="3">
        <v>45594</v>
      </c>
      <c r="C279" s="1" t="str">
        <f t="shared" si="8"/>
        <v>seg</v>
      </c>
      <c r="D279" s="1" t="str">
        <f t="shared" si="9"/>
        <v>Out/28</v>
      </c>
      <c r="E279" s="4" t="s">
        <v>60</v>
      </c>
    </row>
    <row r="280" spans="1:5">
      <c r="A280" s="1">
        <v>30</v>
      </c>
      <c r="B280" s="3">
        <v>45595</v>
      </c>
      <c r="C280" s="1" t="str">
        <f t="shared" si="8"/>
        <v>ter</v>
      </c>
      <c r="D280" s="1" t="str">
        <f t="shared" si="9"/>
        <v>Out/28</v>
      </c>
      <c r="E280" s="4" t="s">
        <v>60</v>
      </c>
    </row>
    <row r="281" spans="1:5">
      <c r="A281" s="1">
        <v>31</v>
      </c>
      <c r="B281" s="3">
        <v>45596</v>
      </c>
      <c r="C281" s="1" t="str">
        <f t="shared" si="8"/>
        <v>qua</v>
      </c>
      <c r="D281" s="1" t="str">
        <f t="shared" si="9"/>
        <v>Nov/28</v>
      </c>
      <c r="E281" s="4" t="s">
        <v>60</v>
      </c>
    </row>
    <row r="282" spans="1:5">
      <c r="A282" s="1">
        <v>1</v>
      </c>
      <c r="B282" s="3">
        <v>45597</v>
      </c>
      <c r="C282" s="1" t="str">
        <f t="shared" si="8"/>
        <v>qui</v>
      </c>
      <c r="D282" s="1" t="str">
        <f t="shared" si="9"/>
        <v>Nov/28</v>
      </c>
      <c r="E282" s="4" t="s">
        <v>60</v>
      </c>
    </row>
    <row r="283" spans="1:5">
      <c r="A283" s="1">
        <v>2</v>
      </c>
      <c r="B283" s="3">
        <v>45598</v>
      </c>
      <c r="C283" s="1" t="str">
        <f t="shared" si="8"/>
        <v>sex</v>
      </c>
      <c r="D283" s="1" t="str">
        <f t="shared" si="9"/>
        <v>Nov/28</v>
      </c>
      <c r="E283" s="4" t="s">
        <v>60</v>
      </c>
    </row>
    <row r="284" spans="1:5">
      <c r="A284" s="1">
        <v>3</v>
      </c>
      <c r="B284" s="3">
        <v>45599</v>
      </c>
      <c r="C284" s="1" t="str">
        <f t="shared" si="8"/>
        <v>sáb</v>
      </c>
      <c r="D284" s="1" t="str">
        <f t="shared" si="9"/>
        <v>Nov/28</v>
      </c>
      <c r="E284" s="4" t="s">
        <v>60</v>
      </c>
    </row>
    <row r="285" spans="1:5">
      <c r="A285" s="1">
        <v>4</v>
      </c>
      <c r="B285" s="3">
        <v>45600</v>
      </c>
      <c r="C285" s="1" t="str">
        <f t="shared" si="8"/>
        <v>dom</v>
      </c>
      <c r="D285" s="1" t="str">
        <f t="shared" si="9"/>
        <v>Nov/28</v>
      </c>
      <c r="E285" s="4" t="s">
        <v>60</v>
      </c>
    </row>
    <row r="286" spans="1:5">
      <c r="A286" s="1">
        <v>5</v>
      </c>
      <c r="B286" s="3">
        <v>45601</v>
      </c>
      <c r="C286" s="1" t="str">
        <f t="shared" si="8"/>
        <v>seg</v>
      </c>
      <c r="D286" s="1" t="str">
        <f t="shared" si="9"/>
        <v>Nov/28</v>
      </c>
      <c r="E286" s="4" t="s">
        <v>60</v>
      </c>
    </row>
    <row r="287" spans="1:5">
      <c r="A287" s="1">
        <v>6</v>
      </c>
      <c r="B287" s="3">
        <v>45602</v>
      </c>
      <c r="C287" s="1" t="str">
        <f t="shared" si="8"/>
        <v>ter</v>
      </c>
      <c r="D287" s="1" t="str">
        <f t="shared" si="9"/>
        <v>Nov/28</v>
      </c>
      <c r="E287" s="4" t="s">
        <v>60</v>
      </c>
    </row>
    <row r="288" spans="1:5">
      <c r="A288" s="1">
        <v>7</v>
      </c>
      <c r="B288" s="3">
        <v>45603</v>
      </c>
      <c r="C288" s="1" t="str">
        <f t="shared" si="8"/>
        <v>qua</v>
      </c>
      <c r="D288" s="1" t="str">
        <f t="shared" si="9"/>
        <v>Nov/28</v>
      </c>
      <c r="E288" s="4" t="s">
        <v>60</v>
      </c>
    </row>
    <row r="289" spans="1:5">
      <c r="A289" s="1">
        <v>8</v>
      </c>
      <c r="B289" s="3">
        <v>45604</v>
      </c>
      <c r="C289" s="1" t="str">
        <f t="shared" si="8"/>
        <v>qui</v>
      </c>
      <c r="D289" s="1" t="str">
        <f t="shared" si="9"/>
        <v>Nov/28</v>
      </c>
      <c r="E289" s="4" t="s">
        <v>60</v>
      </c>
    </row>
    <row r="290" spans="1:5">
      <c r="A290" s="1">
        <v>9</v>
      </c>
      <c r="B290" s="3">
        <v>45605</v>
      </c>
      <c r="C290" s="1" t="str">
        <f t="shared" si="8"/>
        <v>sex</v>
      </c>
      <c r="D290" s="1" t="str">
        <f t="shared" si="9"/>
        <v>Nov/28</v>
      </c>
      <c r="E290" s="4" t="s">
        <v>60</v>
      </c>
    </row>
    <row r="291" spans="1:5">
      <c r="A291" s="1">
        <v>10</v>
      </c>
      <c r="B291" s="3">
        <v>45606</v>
      </c>
      <c r="C291" s="1" t="str">
        <f t="shared" si="8"/>
        <v>sáb</v>
      </c>
      <c r="D291" s="1" t="str">
        <f t="shared" si="9"/>
        <v>Nov/28</v>
      </c>
      <c r="E291" s="4" t="s">
        <v>61</v>
      </c>
    </row>
    <row r="292" spans="1:5">
      <c r="A292" s="1">
        <v>11</v>
      </c>
      <c r="B292" s="3">
        <v>45607</v>
      </c>
      <c r="C292" s="1" t="str">
        <f t="shared" si="8"/>
        <v>dom</v>
      </c>
      <c r="D292" s="1" t="str">
        <f t="shared" si="9"/>
        <v>Nov/28</v>
      </c>
      <c r="E292" s="4" t="s">
        <v>61</v>
      </c>
    </row>
    <row r="293" spans="1:5">
      <c r="A293" s="1">
        <v>12</v>
      </c>
      <c r="B293" s="3">
        <v>45608</v>
      </c>
      <c r="C293" s="1" t="str">
        <f t="shared" si="8"/>
        <v>seg</v>
      </c>
      <c r="D293" s="1" t="str">
        <f t="shared" si="9"/>
        <v>Nov/28</v>
      </c>
      <c r="E293" s="4" t="s">
        <v>61</v>
      </c>
    </row>
    <row r="294" spans="1:5">
      <c r="A294" s="1">
        <v>13</v>
      </c>
      <c r="B294" s="3">
        <v>45609</v>
      </c>
      <c r="C294" s="1" t="str">
        <f t="shared" si="8"/>
        <v>ter</v>
      </c>
      <c r="D294" s="1" t="str">
        <f t="shared" si="9"/>
        <v>Nov/28</v>
      </c>
      <c r="E294" s="4" t="s">
        <v>61</v>
      </c>
    </row>
    <row r="295" spans="1:5">
      <c r="A295" s="1">
        <v>14</v>
      </c>
      <c r="B295" s="3">
        <v>45610</v>
      </c>
      <c r="C295" s="1" t="str">
        <f t="shared" si="8"/>
        <v>qua</v>
      </c>
      <c r="D295" s="1" t="str">
        <f t="shared" si="9"/>
        <v>Nov/28</v>
      </c>
      <c r="E295" s="4" t="s">
        <v>61</v>
      </c>
    </row>
    <row r="296" spans="1:5">
      <c r="A296" s="1">
        <v>15</v>
      </c>
      <c r="B296" s="3">
        <v>45611</v>
      </c>
      <c r="C296" s="1" t="str">
        <f t="shared" si="8"/>
        <v>qui</v>
      </c>
      <c r="D296" s="1" t="str">
        <f t="shared" si="9"/>
        <v>Nov/28</v>
      </c>
      <c r="E296" s="4" t="s">
        <v>61</v>
      </c>
    </row>
    <row r="297" spans="1:5">
      <c r="A297" s="1">
        <v>16</v>
      </c>
      <c r="B297" s="3">
        <v>45612</v>
      </c>
      <c r="C297" s="1" t="str">
        <f t="shared" si="8"/>
        <v>sex</v>
      </c>
      <c r="D297" s="1" t="str">
        <f t="shared" si="9"/>
        <v>Nov/28</v>
      </c>
      <c r="E297" s="4" t="s">
        <v>61</v>
      </c>
    </row>
    <row r="298" spans="1:5">
      <c r="A298" s="1">
        <v>17</v>
      </c>
      <c r="B298" s="3">
        <v>45613</v>
      </c>
      <c r="C298" s="1" t="str">
        <f t="shared" si="8"/>
        <v>sáb</v>
      </c>
      <c r="D298" s="1" t="str">
        <f t="shared" si="9"/>
        <v>Nov/28</v>
      </c>
      <c r="E298" s="4" t="s">
        <v>61</v>
      </c>
    </row>
    <row r="299" spans="1:5">
      <c r="A299" s="1">
        <v>18</v>
      </c>
      <c r="B299" s="3">
        <v>45614</v>
      </c>
      <c r="C299" s="1" t="str">
        <f t="shared" si="8"/>
        <v>dom</v>
      </c>
      <c r="D299" s="1" t="str">
        <f t="shared" si="9"/>
        <v>Nov/28</v>
      </c>
      <c r="E299" s="4" t="s">
        <v>61</v>
      </c>
    </row>
    <row r="300" spans="1:5">
      <c r="A300" s="1">
        <v>19</v>
      </c>
      <c r="B300" s="3">
        <v>45615</v>
      </c>
      <c r="C300" s="1" t="str">
        <f t="shared" si="8"/>
        <v>seg</v>
      </c>
      <c r="D300" s="1" t="str">
        <f t="shared" si="9"/>
        <v>Nov/28</v>
      </c>
      <c r="E300" s="4" t="s">
        <v>61</v>
      </c>
    </row>
    <row r="301" spans="1:5">
      <c r="A301" s="1">
        <v>20</v>
      </c>
      <c r="B301" s="3">
        <v>45616</v>
      </c>
      <c r="C301" s="1" t="str">
        <f t="shared" si="8"/>
        <v>ter</v>
      </c>
      <c r="D301" s="1" t="str">
        <f t="shared" si="9"/>
        <v>Nov/28</v>
      </c>
      <c r="E301" s="4" t="s">
        <v>61</v>
      </c>
    </row>
    <row r="302" spans="1:5">
      <c r="A302" s="1">
        <v>21</v>
      </c>
      <c r="B302" s="3">
        <v>45617</v>
      </c>
      <c r="C302" s="1" t="str">
        <f t="shared" si="8"/>
        <v>qua</v>
      </c>
      <c r="D302" s="1" t="str">
        <f t="shared" si="9"/>
        <v>Nov/28</v>
      </c>
      <c r="E302" s="4" t="s">
        <v>61</v>
      </c>
    </row>
    <row r="303" spans="1:5">
      <c r="A303" s="1">
        <v>22</v>
      </c>
      <c r="B303" s="3">
        <v>45618</v>
      </c>
      <c r="C303" s="1" t="str">
        <f t="shared" si="8"/>
        <v>qui</v>
      </c>
      <c r="D303" s="1" t="str">
        <f t="shared" si="9"/>
        <v>Nov/28</v>
      </c>
      <c r="E303" s="4" t="s">
        <v>61</v>
      </c>
    </row>
    <row r="304" spans="1:5">
      <c r="A304" s="1">
        <v>23</v>
      </c>
      <c r="B304" s="3">
        <v>45619</v>
      </c>
      <c r="C304" s="1" t="str">
        <f t="shared" si="8"/>
        <v>sex</v>
      </c>
      <c r="D304" s="1" t="str">
        <f t="shared" si="9"/>
        <v>Nov/28</v>
      </c>
      <c r="E304" s="4" t="s">
        <v>61</v>
      </c>
    </row>
    <row r="305" spans="1:5">
      <c r="A305" s="1">
        <v>24</v>
      </c>
      <c r="B305" s="3">
        <v>45620</v>
      </c>
      <c r="C305" s="1" t="str">
        <f t="shared" si="8"/>
        <v>sáb</v>
      </c>
      <c r="D305" s="1" t="str">
        <f t="shared" si="9"/>
        <v>Nov/28</v>
      </c>
      <c r="E305" s="4" t="s">
        <v>61</v>
      </c>
    </row>
    <row r="306" spans="1:5">
      <c r="A306" s="1">
        <v>25</v>
      </c>
      <c r="B306" s="3">
        <v>45621</v>
      </c>
      <c r="C306" s="1" t="str">
        <f t="shared" si="8"/>
        <v>dom</v>
      </c>
      <c r="D306" s="1" t="str">
        <f t="shared" si="9"/>
        <v>Nov/28</v>
      </c>
      <c r="E306" s="4" t="s">
        <v>61</v>
      </c>
    </row>
    <row r="307" spans="1:5">
      <c r="A307" s="1">
        <v>26</v>
      </c>
      <c r="B307" s="3">
        <v>45622</v>
      </c>
      <c r="C307" s="1" t="str">
        <f t="shared" si="8"/>
        <v>seg</v>
      </c>
      <c r="D307" s="1" t="str">
        <f t="shared" si="9"/>
        <v>Nov/28</v>
      </c>
      <c r="E307" s="4" t="s">
        <v>60</v>
      </c>
    </row>
    <row r="308" spans="1:5">
      <c r="A308" s="1">
        <v>27</v>
      </c>
      <c r="B308" s="3">
        <v>45623</v>
      </c>
      <c r="C308" s="1" t="str">
        <f t="shared" si="8"/>
        <v>ter</v>
      </c>
      <c r="D308" s="1" t="str">
        <f t="shared" si="9"/>
        <v>Nov/28</v>
      </c>
      <c r="E308" s="4" t="s">
        <v>60</v>
      </c>
    </row>
    <row r="309" spans="1:5">
      <c r="A309" s="1">
        <v>28</v>
      </c>
      <c r="B309" s="3">
        <v>45624</v>
      </c>
      <c r="C309" s="1" t="str">
        <f t="shared" si="8"/>
        <v>qua</v>
      </c>
      <c r="D309" s="1" t="str">
        <f t="shared" si="9"/>
        <v>Nov/28</v>
      </c>
      <c r="E309" s="4" t="s">
        <v>60</v>
      </c>
    </row>
    <row r="310" spans="1:5">
      <c r="A310" s="1">
        <v>29</v>
      </c>
      <c r="B310" s="3">
        <v>45625</v>
      </c>
      <c r="C310" s="1" t="str">
        <f t="shared" si="8"/>
        <v>qui</v>
      </c>
      <c r="D310" s="1" t="str">
        <f t="shared" si="9"/>
        <v>Nov/28</v>
      </c>
      <c r="E310" s="4" t="s">
        <v>60</v>
      </c>
    </row>
    <row r="311" spans="1:5">
      <c r="A311" s="1">
        <v>30</v>
      </c>
      <c r="B311" s="3">
        <v>45626</v>
      </c>
      <c r="C311" s="1" t="str">
        <f t="shared" si="8"/>
        <v>sex</v>
      </c>
      <c r="D311" s="1" t="str">
        <f t="shared" si="9"/>
        <v>Dez/28</v>
      </c>
      <c r="E311" s="4" t="s">
        <v>60</v>
      </c>
    </row>
    <row r="312" spans="1:5">
      <c r="A312" s="1">
        <v>1</v>
      </c>
      <c r="B312" s="3">
        <v>45627</v>
      </c>
      <c r="C312" s="1" t="str">
        <f t="shared" si="8"/>
        <v>sáb</v>
      </c>
      <c r="D312" s="1" t="str">
        <f t="shared" si="9"/>
        <v>Dez/28</v>
      </c>
      <c r="E312" s="4" t="s">
        <v>60</v>
      </c>
    </row>
    <row r="313" spans="1:5">
      <c r="A313" s="1">
        <v>2</v>
      </c>
      <c r="B313" s="3">
        <v>45628</v>
      </c>
      <c r="C313" s="1" t="str">
        <f t="shared" si="8"/>
        <v>dom</v>
      </c>
      <c r="D313" s="1" t="str">
        <f t="shared" si="9"/>
        <v>Dez/28</v>
      </c>
      <c r="E313" s="4" t="s">
        <v>60</v>
      </c>
    </row>
    <row r="314" spans="1:5">
      <c r="A314" s="1">
        <v>3</v>
      </c>
      <c r="B314" s="3">
        <v>45629</v>
      </c>
      <c r="C314" s="1" t="str">
        <f t="shared" si="8"/>
        <v>seg</v>
      </c>
      <c r="D314" s="1" t="str">
        <f t="shared" si="9"/>
        <v>Dez/28</v>
      </c>
      <c r="E314" s="4" t="s">
        <v>60</v>
      </c>
    </row>
    <row r="315" spans="1:5">
      <c r="A315" s="1">
        <v>4</v>
      </c>
      <c r="B315" s="3">
        <v>45630</v>
      </c>
      <c r="C315" s="1" t="str">
        <f t="shared" si="8"/>
        <v>ter</v>
      </c>
      <c r="D315" s="1" t="str">
        <f t="shared" si="9"/>
        <v>Dez/28</v>
      </c>
      <c r="E315" s="4" t="s">
        <v>60</v>
      </c>
    </row>
    <row r="316" spans="1:5">
      <c r="A316" s="1">
        <v>5</v>
      </c>
      <c r="B316" s="3">
        <v>45631</v>
      </c>
      <c r="C316" s="1" t="str">
        <f t="shared" si="8"/>
        <v>qua</v>
      </c>
      <c r="D316" s="1" t="str">
        <f t="shared" si="9"/>
        <v>Dez/28</v>
      </c>
      <c r="E316" s="4" t="s">
        <v>60</v>
      </c>
    </row>
    <row r="317" spans="1:5">
      <c r="A317" s="1">
        <v>6</v>
      </c>
      <c r="B317" s="3">
        <v>45632</v>
      </c>
      <c r="C317" s="1" t="str">
        <f t="shared" si="8"/>
        <v>qui</v>
      </c>
      <c r="D317" s="1" t="str">
        <f t="shared" si="9"/>
        <v>Dez/28</v>
      </c>
      <c r="E317" s="4" t="s">
        <v>60</v>
      </c>
    </row>
    <row r="318" spans="1:5">
      <c r="A318" s="1">
        <v>7</v>
      </c>
      <c r="B318" s="3">
        <v>45633</v>
      </c>
      <c r="C318" s="1" t="str">
        <f t="shared" si="8"/>
        <v>sex</v>
      </c>
      <c r="D318" s="1" t="str">
        <f t="shared" si="9"/>
        <v>Dez/28</v>
      </c>
      <c r="E318" s="4" t="s">
        <v>60</v>
      </c>
    </row>
    <row r="319" spans="1:5">
      <c r="A319" s="1">
        <v>8</v>
      </c>
      <c r="B319" s="3">
        <v>45634</v>
      </c>
      <c r="C319" s="1" t="str">
        <f t="shared" si="8"/>
        <v>sáb</v>
      </c>
      <c r="D319" s="1" t="str">
        <f t="shared" si="9"/>
        <v>Dez/28</v>
      </c>
      <c r="E319" s="4" t="s">
        <v>60</v>
      </c>
    </row>
    <row r="320" spans="1:5">
      <c r="A320" s="1">
        <v>9</v>
      </c>
      <c r="B320" s="3">
        <v>45635</v>
      </c>
      <c r="C320" s="1" t="str">
        <f t="shared" si="8"/>
        <v>dom</v>
      </c>
      <c r="D320" s="1" t="str">
        <f t="shared" si="9"/>
        <v>Dez/28</v>
      </c>
      <c r="E320" s="4" t="s">
        <v>60</v>
      </c>
    </row>
    <row r="321" spans="1:5">
      <c r="A321" s="1">
        <v>10</v>
      </c>
      <c r="B321" s="3">
        <v>45636</v>
      </c>
      <c r="C321" s="1" t="str">
        <f t="shared" si="8"/>
        <v>seg</v>
      </c>
      <c r="D321" s="1" t="str">
        <f t="shared" si="9"/>
        <v>Dez/28</v>
      </c>
      <c r="E321" s="4" t="s">
        <v>61</v>
      </c>
    </row>
    <row r="322" spans="1:5">
      <c r="A322" s="1">
        <v>11</v>
      </c>
      <c r="B322" s="3">
        <v>45637</v>
      </c>
      <c r="C322" s="1" t="str">
        <f t="shared" si="8"/>
        <v>ter</v>
      </c>
      <c r="D322" s="1" t="str">
        <f t="shared" si="9"/>
        <v>Dez/28</v>
      </c>
      <c r="E322" s="4" t="s">
        <v>61</v>
      </c>
    </row>
    <row r="323" spans="1:5">
      <c r="A323" s="1">
        <v>12</v>
      </c>
      <c r="B323" s="3">
        <v>45638</v>
      </c>
      <c r="C323" s="1" t="str">
        <f t="shared" ref="C323:C336" si="10">TEXT(B323,"DDD")</f>
        <v>qua</v>
      </c>
      <c r="D323" s="1" t="str">
        <f t="shared" ref="D323:D336" si="11">PROPER(TEXT(B323,"mmm"&amp;"/"&amp;"AA"))</f>
        <v>Dez/28</v>
      </c>
      <c r="E323" s="4" t="s">
        <v>61</v>
      </c>
    </row>
    <row r="324" spans="1:5">
      <c r="A324" s="1">
        <v>13</v>
      </c>
      <c r="B324" s="3">
        <v>45639</v>
      </c>
      <c r="C324" s="1" t="str">
        <f t="shared" si="10"/>
        <v>qui</v>
      </c>
      <c r="D324" s="1" t="str">
        <f t="shared" si="11"/>
        <v>Dez/28</v>
      </c>
      <c r="E324" s="4" t="s">
        <v>61</v>
      </c>
    </row>
    <row r="325" spans="1:5">
      <c r="A325" s="1">
        <v>14</v>
      </c>
      <c r="B325" s="3">
        <v>45640</v>
      </c>
      <c r="C325" s="1" t="str">
        <f t="shared" si="10"/>
        <v>sex</v>
      </c>
      <c r="D325" s="1" t="str">
        <f t="shared" si="11"/>
        <v>Dez/28</v>
      </c>
      <c r="E325" s="4" t="s">
        <v>61</v>
      </c>
    </row>
    <row r="326" spans="1:5">
      <c r="A326" s="1">
        <v>15</v>
      </c>
      <c r="B326" s="3">
        <v>45641</v>
      </c>
      <c r="C326" s="1" t="str">
        <f t="shared" si="10"/>
        <v>sáb</v>
      </c>
      <c r="D326" s="1" t="str">
        <f t="shared" si="11"/>
        <v>Dez/28</v>
      </c>
      <c r="E326" s="4" t="s">
        <v>61</v>
      </c>
    </row>
    <row r="327" spans="1:5">
      <c r="A327" s="1">
        <v>16</v>
      </c>
      <c r="B327" s="3">
        <v>45642</v>
      </c>
      <c r="C327" s="1" t="str">
        <f t="shared" si="10"/>
        <v>dom</v>
      </c>
      <c r="D327" s="1" t="str">
        <f t="shared" si="11"/>
        <v>Dez/28</v>
      </c>
      <c r="E327" s="4" t="s">
        <v>61</v>
      </c>
    </row>
    <row r="328" spans="1:5">
      <c r="A328" s="1">
        <v>17</v>
      </c>
      <c r="B328" s="3">
        <v>45643</v>
      </c>
      <c r="C328" s="1" t="str">
        <f t="shared" si="10"/>
        <v>seg</v>
      </c>
      <c r="D328" s="1" t="str">
        <f t="shared" si="11"/>
        <v>Dez/28</v>
      </c>
      <c r="E328" s="4" t="s">
        <v>61</v>
      </c>
    </row>
    <row r="329" spans="1:5">
      <c r="A329" s="1">
        <v>18</v>
      </c>
      <c r="B329" s="3">
        <v>45644</v>
      </c>
      <c r="C329" s="1" t="str">
        <f t="shared" si="10"/>
        <v>ter</v>
      </c>
      <c r="D329" s="1" t="str">
        <f t="shared" si="11"/>
        <v>Dez/28</v>
      </c>
      <c r="E329" s="4" t="s">
        <v>61</v>
      </c>
    </row>
    <row r="330" spans="1:5">
      <c r="A330" s="1">
        <v>19</v>
      </c>
      <c r="B330" s="3">
        <v>45645</v>
      </c>
      <c r="C330" s="1" t="str">
        <f t="shared" si="10"/>
        <v>qua</v>
      </c>
      <c r="D330" s="1" t="str">
        <f t="shared" si="11"/>
        <v>Dez/28</v>
      </c>
      <c r="E330" s="4" t="s">
        <v>61</v>
      </c>
    </row>
    <row r="331" spans="1:5">
      <c r="A331" s="1">
        <v>20</v>
      </c>
      <c r="B331" s="3">
        <v>45646</v>
      </c>
      <c r="C331" s="1" t="str">
        <f t="shared" si="10"/>
        <v>qui</v>
      </c>
      <c r="D331" s="1" t="str">
        <f t="shared" si="11"/>
        <v>Dez/28</v>
      </c>
      <c r="E331" s="4" t="s">
        <v>61</v>
      </c>
    </row>
    <row r="332" spans="1:5">
      <c r="A332" s="1">
        <v>21</v>
      </c>
      <c r="B332" s="3">
        <v>45647</v>
      </c>
      <c r="C332" s="1" t="str">
        <f t="shared" si="10"/>
        <v>sex</v>
      </c>
      <c r="D332" s="1" t="str">
        <f t="shared" si="11"/>
        <v>Dez/28</v>
      </c>
      <c r="E332" s="4" t="s">
        <v>61</v>
      </c>
    </row>
    <row r="333" spans="1:5">
      <c r="A333" s="1">
        <v>22</v>
      </c>
      <c r="B333" s="3">
        <v>45648</v>
      </c>
      <c r="C333" s="1" t="str">
        <f t="shared" si="10"/>
        <v>sáb</v>
      </c>
      <c r="D333" s="1" t="str">
        <f t="shared" si="11"/>
        <v>Dez/28</v>
      </c>
      <c r="E333" s="4" t="s">
        <v>61</v>
      </c>
    </row>
    <row r="334" spans="1:5">
      <c r="A334" s="1">
        <v>23</v>
      </c>
      <c r="B334" s="3">
        <v>45649</v>
      </c>
      <c r="C334" s="1" t="str">
        <f t="shared" si="10"/>
        <v>dom</v>
      </c>
      <c r="D334" s="1" t="str">
        <f t="shared" si="11"/>
        <v>Dez/28</v>
      </c>
      <c r="E334" s="4" t="s">
        <v>61</v>
      </c>
    </row>
    <row r="335" spans="1:5">
      <c r="A335" s="1">
        <v>24</v>
      </c>
      <c r="B335" s="3">
        <v>45650</v>
      </c>
      <c r="C335" s="1" t="str">
        <f t="shared" si="10"/>
        <v>seg</v>
      </c>
      <c r="D335" s="1" t="str">
        <f t="shared" si="11"/>
        <v>Dez/28</v>
      </c>
      <c r="E335" s="4" t="s">
        <v>61</v>
      </c>
    </row>
    <row r="336" spans="1:5">
      <c r="A336" s="1">
        <v>25</v>
      </c>
      <c r="B336" s="3">
        <v>45651</v>
      </c>
      <c r="C336" s="1" t="str">
        <f t="shared" si="10"/>
        <v>ter</v>
      </c>
      <c r="D336" s="1" t="str">
        <f t="shared" si="11"/>
        <v>Dez/28</v>
      </c>
      <c r="E336" s="4" t="s">
        <v>61</v>
      </c>
    </row>
  </sheetData>
  <autoFilter ref="A1:E336" xr:uid="{00000000-0009-0000-0000-00000A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8B0053-A68E-4BE5-9907-998041B0045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AGENTE </vt:lpstr>
      <vt:lpstr>GRAFICO</vt:lpstr>
      <vt:lpstr>26 a 10</vt:lpstr>
      <vt:lpstr>11 a 25</vt:lpstr>
      <vt:lpstr>FOLHA OP 1</vt:lpstr>
      <vt:lpstr>FOLHA OP 02</vt:lpstr>
      <vt:lpstr>MODELO</vt:lpstr>
      <vt:lpstr>Datas</vt:lpstr>
      <vt:lpstr>'26 a 10'!Area_de_impressao</vt:lpstr>
      <vt:lpstr>MODELO!Area_de_impressao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Escolta Marshals</dc:creator>
  <cp:lastModifiedBy>Mickael Soria</cp:lastModifiedBy>
  <cp:lastPrinted>2025-06-17T17:00:00Z</cp:lastPrinted>
  <dcterms:created xsi:type="dcterms:W3CDTF">2006-09-25T12:47:00Z</dcterms:created>
  <dcterms:modified xsi:type="dcterms:W3CDTF">2026-03-23T13:20:32Z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DCB5CFFF329E416CB15FDFBDDC258CFB_12</vt:lpwstr>
  </property>
  <property fmtid="{D5CDD505-2E9C-101B-9397-08002B2CF9AE}" pid="3" name="KSOProductBuildVer">
    <vt:lpwstr>1046-12.2.0.21546</vt:lpwstr>
  </property>
</Properties>
</file>